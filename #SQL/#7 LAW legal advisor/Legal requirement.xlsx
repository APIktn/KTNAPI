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2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drawings/drawing3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ask_2025\Legal\"/>
    </mc:Choice>
  </mc:AlternateContent>
  <xr:revisionPtr revIDLastSave="0" documentId="13_ncr:1_{BD1AA099-3E55-451F-92F7-9519FED106DB}" xr6:coauthVersionLast="47" xr6:coauthVersionMax="47" xr10:uidLastSave="{00000000-0000-0000-0000-000000000000}"/>
  <bookViews>
    <workbookView xWindow="-120" yWindow="-120" windowWidth="29040" windowHeight="15720" xr2:uid="{7ED5FA98-71D1-4699-89A5-1EA41E5EEF67}"/>
  </bookViews>
  <sheets>
    <sheet name="Screen" sheetId="7" r:id="rId1"/>
    <sheet name="2.1" sheetId="2" r:id="rId2"/>
    <sheet name="2.2" sheetId="4" r:id="rId3"/>
    <sheet name="2.3" sheetId="5" r:id="rId4"/>
    <sheet name="2.4" sheetId="6" r:id="rId5"/>
    <sheet name="." sheetId="3" r:id="rId6"/>
    <sheet name="Doc number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7" i="7" l="1"/>
  <c r="G99" i="7"/>
  <c r="G91" i="7"/>
  <c r="G86" i="7"/>
  <c r="G84" i="7"/>
  <c r="A84" i="7"/>
  <c r="G74" i="7"/>
  <c r="G6" i="7"/>
  <c r="AJ29" i="6"/>
  <c r="AK23" i="6"/>
  <c r="AK21" i="6"/>
  <c r="K21" i="6"/>
  <c r="AN4" i="6"/>
  <c r="AT2" i="6"/>
  <c r="AJ33" i="5"/>
  <c r="AK27" i="5"/>
  <c r="AK25" i="5"/>
  <c r="K25" i="5"/>
  <c r="AN4" i="5"/>
  <c r="AT2" i="5"/>
  <c r="AJ35" i="4" l="1"/>
  <c r="AK29" i="4"/>
  <c r="AK27" i="4"/>
  <c r="K27" i="4"/>
  <c r="AN4" i="4"/>
  <c r="AT2" i="4"/>
  <c r="AK33" i="2"/>
  <c r="K31" i="2"/>
  <c r="AK31" i="2"/>
  <c r="AJ39" i="2"/>
  <c r="AN4" i="2"/>
  <c r="AT2" i="2"/>
  <c r="B11" i="1"/>
  <c r="B12" i="1"/>
  <c r="B13" i="1"/>
  <c r="B14" i="1"/>
  <c r="B10" i="1"/>
</calcChain>
</file>

<file path=xl/sharedStrings.xml><?xml version="1.0" encoding="utf-8"?>
<sst xmlns="http://schemas.openxmlformats.org/spreadsheetml/2006/main" count="286" uniqueCount="117">
  <si>
    <t>XXYYMMDDNNN</t>
  </si>
  <si>
    <t>XX</t>
  </si>
  <si>
    <t>แผนก, ประเภทเอกสาร</t>
  </si>
  <si>
    <t>YY</t>
  </si>
  <si>
    <t>MM</t>
  </si>
  <si>
    <t>DD</t>
  </si>
  <si>
    <t>NNN</t>
  </si>
  <si>
    <t>Running number</t>
  </si>
  <si>
    <t>ปี</t>
  </si>
  <si>
    <t>เดือน</t>
  </si>
  <si>
    <t>วัน</t>
  </si>
  <si>
    <t>001</t>
  </si>
  <si>
    <t>002</t>
  </si>
  <si>
    <t>003</t>
  </si>
  <si>
    <t>004</t>
  </si>
  <si>
    <t>005</t>
  </si>
  <si>
    <t>แบบฟอร์มคำขอรับบริการงานกฎหมาย (Legal Service Request Form)</t>
  </si>
  <si>
    <t>เลขที่คำขอ</t>
  </si>
  <si>
    <t>ส่วนที่ 1: ข้อมูลของผู้ร้องขอ</t>
  </si>
  <si>
    <t>ชื่อผู้ร้องขอ</t>
  </si>
  <si>
    <t>608021 น.ส.กุรุพินท์ จั่นกลาง แผนกสารสนเทศ kuruphin.c@chaosua.com</t>
  </si>
  <si>
    <t>วันที่ร้องขอ</t>
  </si>
  <si>
    <t>ส่วนที่ 2: ประเภทงานที่ร้องขอ</t>
  </si>
  <si>
    <t>2.1 ขอให้ร่างสัญญา (ใหม่) / ตรวจสอบร่างสัญญา / แก้ไขเพิ่มเติมสัญญา</t>
  </si>
  <si>
    <t xml:space="preserve">ชื่อหรือประเภทของสัญญา </t>
  </si>
  <si>
    <t xml:space="preserve">ชื่อคู่สัญญา (บุคคลธรรมดา/นิติบุคคล) </t>
  </si>
  <si>
    <t xml:space="preserve">ที่อยู่จดทะเบียน </t>
  </si>
  <si>
    <t>ทุนทรัพย์ของสัญญา (ถ้ามี)</t>
  </si>
  <si>
    <t>บาท</t>
  </si>
  <si>
    <t xml:space="preserve">ผู้มีอำนาจลงนามในสัญญา </t>
  </si>
  <si>
    <t>1.</t>
  </si>
  <si>
    <t>2.</t>
  </si>
  <si>
    <t>กำหนดเวลาของสัญญา</t>
  </si>
  <si>
    <t>เริ่มต้น</t>
  </si>
  <si>
    <t>สิ้นสุด</t>
  </si>
  <si>
    <t>ภาษาที่ใช้ในสัญญา:</t>
  </si>
  <si>
    <t>ไทย</t>
  </si>
  <si>
    <t>อังกฤษ</t>
  </si>
  <si>
    <t xml:space="preserve">รายละเอียดหรือข้อตกลงเบื้องต้น (Term Sheet/Scope/Business Term) </t>
  </si>
  <si>
    <t xml:space="preserve">หมายเหตุ: ตัวอย่างเช่น สัญญาเดิม ข้อเสนอทางธุรกิจ ใบเสนอราคา เอกสารคู่สัญญา หรือ เอกสารอื่นๆ โดยให้ระบุว่าเป็น เอกสารอะไร พร้อมทั้งแนบไฟล์เอกสารที่แนบนั้นมาด้วย </t>
  </si>
  <si>
    <t xml:space="preserve">รายการเอกสารแนบเพิ่มเติม (ถ้ามี) </t>
  </si>
  <si>
    <t>แสดงชื่อไฟล์แนบ</t>
  </si>
  <si>
    <t>ความเร่งด่วนของงาน (ภายใน)</t>
  </si>
  <si>
    <t>3 วัน</t>
  </si>
  <si>
    <t>7 วัน</t>
  </si>
  <si>
    <t>14 วัน</t>
  </si>
  <si>
    <t>หมายเหตุ: ความเร่งด่วนของงานอาจได้รับการเปลี่ยนแปลง ขึ้นอยู่กับการประเมินจากฝ่ายงานกฎหมายและกำกับดูแล โดยอาจประเมินได้จากประเภทของสัญญา กำหนดเวลาของสัญญา</t>
  </si>
  <si>
    <t>ความซับซ้อนของสัญญา การร่างขึ้นใหม่โดยไม่มีข้อมูลพื้นฐาน ความเสี่ยงทางกฎหมายและการเงิน และ / หรือ ความชัดเจนของรายละเอียดหรือข้อตกลงเบื้องต้น เป็นต้น</t>
  </si>
  <si>
    <t>วันที่ได้รับมอบหมายงาน</t>
  </si>
  <si>
    <t>ผู้มีหน้าที่รับผิดชอบ</t>
  </si>
  <si>
    <t>วันที่ครบกำหนดส่ง</t>
  </si>
  <si>
    <t xml:space="preserve">สถานะการดำเนินงาน </t>
  </si>
  <si>
    <t>ส่วนที่ 3: ข้อมูลส่วนของฝ่ายกฎหมายและกำกับดูแล</t>
  </si>
  <si>
    <t>อยู่ระหว่างดำเนินการจัดทำ / ขอข้อมูลเพิ่มเติม</t>
  </si>
  <si>
    <t>อื่นๆ (โปรดระบุ)</t>
  </si>
  <si>
    <t>ดำเนินการเสร็จสิ้น พร้อมส่งมอบงานแล้ว</t>
  </si>
  <si>
    <t>วันที่ส่งมอบงาน</t>
  </si>
  <si>
    <t>(ระบุ)</t>
  </si>
  <si>
    <t>3.</t>
  </si>
  <si>
    <t>4.</t>
  </si>
  <si>
    <t>ภาษาที่ใช้ในสัญญา</t>
  </si>
  <si>
    <t>อื่น ๆ</t>
  </si>
  <si>
    <t>ความเร่งด่วน</t>
  </si>
  <si>
    <t>ส่วนที่ 4: ผู้อนุมัติ</t>
  </si>
  <si>
    <t>หมายเหตุ</t>
  </si>
  <si>
    <t>ผู้อนุมัติ</t>
  </si>
  <si>
    <t>วันที่อนุมัติ</t>
  </si>
  <si>
    <r>
      <t xml:space="preserve">2.2 ขอคำปรึกษาทางกฎหมาย </t>
    </r>
    <r>
      <rPr>
        <i/>
        <sz val="14"/>
        <color theme="1"/>
        <rFont val="Angsana New"/>
        <family val="1"/>
      </rPr>
      <t>(เลือกได้มากกว่า 1 ข้อ)</t>
    </r>
  </si>
  <si>
    <t>ด้านการดำเนินธุรกิจทั่วไป (ตัวอย่าง: กฎหมายแรงงาน, ข้อบังคับ, สัญญา)</t>
  </si>
  <si>
    <t>ด้านการควบรวมและการเข้าซื้อกิจการ (M&amp;A)</t>
  </si>
  <si>
    <t>กิจการร่วมค้า (Joint Venture)</t>
  </si>
  <si>
    <t xml:space="preserve">อื่น ๆ (โปรดระบุ) </t>
  </si>
  <si>
    <t>ข้อมูลและเอกสารประกอบ (เช่น เอกสาร แนวปฏิบัติ หรือ ข้อเท็จจริงที่เกิดขึ้น เป็นต้น)</t>
  </si>
  <si>
    <t>ประเด็นข้อพิพาท/ ข้อเรียกร้อง/ การทวงถาม/ คดีความ</t>
  </si>
  <si>
    <t xml:space="preserve">คำถามเบื้องต้นที่ต้องการคำตอบ </t>
  </si>
  <si>
    <t>ด้านทรัพย์สินทางปัญญา (Intellectual Property)</t>
  </si>
  <si>
    <t>2.3 ขอให้ออกหนังสือหรือเอกสารทางกฎหมาย</t>
  </si>
  <si>
    <t>หนังสือรับรองนิติบุคคล</t>
  </si>
  <si>
    <t>หนังสือบริคณห์สนธิ และข้อบังคับบริษัท</t>
  </si>
  <si>
    <t>หนังสือบอกกล่าวทวงถาม</t>
  </si>
  <si>
    <t>หนังสือบอกเลิกสัญญา/ บันทึกข้อตกลงยกเลิกสัญญา</t>
  </si>
  <si>
    <t xml:space="preserve">ในกรณีที่ต้องมีการลงนามรับรอง ให้ระบุผู้มีอำนาจในการลงนามและเงื่อนไขในการลงนาม </t>
  </si>
  <si>
    <t>ข้อมูลและเอกสารประกอบส่งมอบ</t>
  </si>
  <si>
    <t>2.4 งานร้องขออื่นๆ โปรดระบุ</t>
  </si>
  <si>
    <t>รายละเอียดเพิ่มเติม (แนบเอกสารที่เกี่ยวข้อง ถ้ามี)</t>
  </si>
  <si>
    <t>Document number structure</t>
  </si>
  <si>
    <t>ตัวอย่าง</t>
  </si>
  <si>
    <t>ผู้แจ้ง</t>
  </si>
  <si>
    <t>ขอรับบริการงานกฎหมาย (Legal Service Request Form)</t>
  </si>
  <si>
    <t>เลขที่</t>
  </si>
  <si>
    <t>บริษัท</t>
  </si>
  <si>
    <t>แผนก/ฝ่าย</t>
  </si>
  <si>
    <t>Email</t>
  </si>
  <si>
    <t>ประเภทงานที่ร้องขอ</t>
  </si>
  <si>
    <t>วัน-เวลาที่แจ้ง</t>
  </si>
  <si>
    <t>ต้องการ</t>
  </si>
  <si>
    <t>ไฟล์แนบ</t>
  </si>
  <si>
    <t>อัพโหลดไฟล์ (เฉพาะ .doc .docx .pdf .png .jpg .jpeg .xls .xlsx)</t>
  </si>
  <si>
    <t>ลงชื่อ</t>
  </si>
  <si>
    <t>ผู้ร้องขอ</t>
  </si>
  <si>
    <t>กรอกข้อมูลแจ้งขอรับบริการ</t>
  </si>
  <si>
    <t>608021 กุรุพินท์ จั่นกลาง</t>
  </si>
  <si>
    <t>A3000001 อินทุอร โมรินทร์ A5000004 ณภัทร โมรินทร์</t>
  </si>
  <si>
    <t>LC250721001</t>
  </si>
  <si>
    <t>สารสนเทศ/บัญชีและการเงิน</t>
  </si>
  <si>
    <t>kuruphin.c@chaosua.com</t>
  </si>
  <si>
    <t>2.2 ขอคำปรึกษาทางกฎหมาย</t>
  </si>
  <si>
    <t>เลือกได้มากกว่า 1 ข้อ</t>
  </si>
  <si>
    <t>วัน-เวลาที่บันทึก</t>
  </si>
  <si>
    <t>กรอกข้อมูลผู้รับแจ้ง</t>
  </si>
  <si>
    <t>ผู้ดำเนินการ</t>
  </si>
  <si>
    <t>ความคิดเห็น</t>
  </si>
  <si>
    <t>A300001 อินทุอร โมรินทร์</t>
  </si>
  <si>
    <t>ส่วนที่ 1</t>
  </si>
  <si>
    <t>ส่วนที่ 2</t>
  </si>
  <si>
    <t>ส่วนที่ 3</t>
  </si>
  <si>
    <t>ส่วนที่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</si>
</sst>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000]d/mm/yyyy\ h:mm\ &quot;น.&quot;;@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Angsana New"/>
      <family val="1"/>
    </font>
    <font>
      <b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0"/>
      <color rgb="FFFF0000"/>
      <name val="Angsana New"/>
      <family val="1"/>
    </font>
    <font>
      <i/>
      <sz val="14"/>
      <color theme="1"/>
      <name val="Angsana New"/>
      <family val="1"/>
    </font>
    <font>
      <sz val="11"/>
      <color rgb="FFFF0000"/>
      <name val="Angsana New"/>
      <family val="1"/>
    </font>
    <font>
      <sz val="4"/>
      <color theme="1"/>
      <name val="Angsana New"/>
      <family val="1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2"/>
      <color theme="1"/>
      <name val="Angsana New"/>
      <family val="1"/>
    </font>
    <font>
      <b/>
      <sz val="12"/>
      <color theme="1"/>
      <name val="Angsana New"/>
      <family val="1"/>
    </font>
    <font>
      <sz val="10"/>
      <color theme="1"/>
      <name val="Angsana New"/>
      <family val="1"/>
    </font>
    <font>
      <sz val="9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2" xfId="0" quotePrefix="1" applyFont="1" applyBorder="1"/>
    <xf numFmtId="0" fontId="4" fillId="0" borderId="3" xfId="0" applyFont="1" applyBorder="1"/>
    <xf numFmtId="0" fontId="8" fillId="0" borderId="3" xfId="0" applyFont="1" applyBorder="1"/>
    <xf numFmtId="0" fontId="8" fillId="0" borderId="2" xfId="0" applyFont="1" applyBorder="1"/>
    <xf numFmtId="0" fontId="6" fillId="0" borderId="2" xfId="0" applyFont="1" applyBorder="1"/>
    <xf numFmtId="0" fontId="4" fillId="0" borderId="2" xfId="0" applyFont="1" applyBorder="1" applyAlignment="1"/>
    <xf numFmtId="0" fontId="6" fillId="0" borderId="0" xfId="0" applyFont="1" applyBorder="1"/>
    <xf numFmtId="164" fontId="4" fillId="0" borderId="0" xfId="0" applyNumberFormat="1" applyFont="1" applyBorder="1" applyAlignment="1"/>
    <xf numFmtId="0" fontId="10" fillId="0" borderId="1" xfId="0" applyFont="1" applyBorder="1"/>
    <xf numFmtId="0" fontId="10" fillId="0" borderId="0" xfId="0" applyFont="1"/>
    <xf numFmtId="0" fontId="9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6" fillId="0" borderId="2" xfId="0" applyFont="1" applyBorder="1" applyAlignment="1"/>
    <xf numFmtId="0" fontId="6" fillId="0" borderId="0" xfId="0" applyFont="1" applyBorder="1" applyAlignment="1"/>
    <xf numFmtId="0" fontId="4" fillId="0" borderId="0" xfId="0" applyFont="1" applyBorder="1" applyAlignment="1"/>
    <xf numFmtId="0" fontId="10" fillId="0" borderId="1" xfId="0" applyFont="1" applyBorder="1" applyAlignment="1"/>
    <xf numFmtId="0" fontId="10" fillId="0" borderId="0" xfId="0" applyFont="1" applyAlignment="1"/>
    <xf numFmtId="0" fontId="4" fillId="0" borderId="0" xfId="0" quotePrefix="1" applyFont="1" applyBorder="1" applyAlignment="1"/>
    <xf numFmtId="0" fontId="4" fillId="0" borderId="3" xfId="0" applyFont="1" applyBorder="1" applyAlignment="1"/>
    <xf numFmtId="0" fontId="8" fillId="0" borderId="3" xfId="0" applyFont="1" applyBorder="1" applyAlignment="1"/>
    <xf numFmtId="0" fontId="8" fillId="0" borderId="2" xfId="0" applyFont="1" applyBorder="1" applyAlignment="1"/>
    <xf numFmtId="0" fontId="4" fillId="0" borderId="4" xfId="0" quotePrefix="1" applyFont="1" applyBorder="1" applyAlignment="1"/>
    <xf numFmtId="0" fontId="4" fillId="0" borderId="4" xfId="0" applyFont="1" applyBorder="1" applyAlignment="1"/>
    <xf numFmtId="0" fontId="2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15" fillId="0" borderId="0" xfId="0" applyFont="1" applyBorder="1"/>
    <xf numFmtId="0" fontId="16" fillId="0" borderId="0" xfId="0" applyFont="1" applyBorder="1"/>
    <xf numFmtId="0" fontId="6" fillId="2" borderId="0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0" xfId="0" applyFont="1" applyFill="1" applyBorder="1"/>
    <xf numFmtId="0" fontId="13" fillId="2" borderId="18" xfId="0" applyFont="1" applyFill="1" applyBorder="1"/>
    <xf numFmtId="0" fontId="4" fillId="2" borderId="16" xfId="0" applyFont="1" applyFill="1" applyBorder="1"/>
    <xf numFmtId="0" fontId="4" fillId="2" borderId="17" xfId="0" applyFont="1" applyFill="1" applyBorder="1"/>
    <xf numFmtId="0" fontId="4" fillId="2" borderId="19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13" fillId="3" borderId="18" xfId="0" applyFont="1" applyFill="1" applyBorder="1"/>
    <xf numFmtId="0" fontId="4" fillId="3" borderId="16" xfId="0" applyFont="1" applyFill="1" applyBorder="1"/>
    <xf numFmtId="0" fontId="4" fillId="3" borderId="17" xfId="0" applyFont="1" applyFill="1" applyBorder="1"/>
    <xf numFmtId="0" fontId="4" fillId="3" borderId="19" xfId="0" applyFont="1" applyFill="1" applyBorder="1"/>
    <xf numFmtId="0" fontId="8" fillId="3" borderId="0" xfId="0" applyFont="1" applyFill="1" applyBorder="1"/>
    <xf numFmtId="0" fontId="4" fillId="3" borderId="0" xfId="0" applyFont="1" applyFill="1" applyBorder="1"/>
    <xf numFmtId="0" fontId="4" fillId="3" borderId="20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7" fillId="3" borderId="0" xfId="0" applyFont="1" applyFill="1" applyBorder="1"/>
    <xf numFmtId="0" fontId="15" fillId="3" borderId="0" xfId="0" applyFont="1" applyFill="1" applyBorder="1"/>
    <xf numFmtId="0" fontId="15" fillId="3" borderId="20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6" fillId="4" borderId="0" xfId="0" applyFont="1" applyFill="1" applyBorder="1"/>
    <xf numFmtId="0" fontId="13" fillId="4" borderId="0" xfId="0" applyFont="1" applyFill="1" applyBorder="1"/>
    <xf numFmtId="0" fontId="4" fillId="4" borderId="0" xfId="0" applyFont="1" applyFill="1" applyBorder="1" applyAlignment="1"/>
    <xf numFmtId="0" fontId="4" fillId="4" borderId="8" xfId="0" applyFont="1" applyFill="1" applyBorder="1"/>
    <xf numFmtId="0" fontId="4" fillId="4" borderId="9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4" borderId="2" xfId="0" applyFont="1" applyFill="1" applyBorder="1"/>
    <xf numFmtId="0" fontId="4" fillId="4" borderId="12" xfId="0" applyFont="1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0" xfId="0" applyFont="1" applyFill="1" applyBorder="1"/>
    <xf numFmtId="0" fontId="6" fillId="5" borderId="0" xfId="0" applyFont="1" applyFill="1" applyBorder="1"/>
    <xf numFmtId="0" fontId="13" fillId="5" borderId="0" xfId="0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/>
    <xf numFmtId="0" fontId="4" fillId="5" borderId="0" xfId="0" applyFont="1" applyFill="1" applyAlignment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5" borderId="2" xfId="0" applyFont="1" applyFill="1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4" fillId="5" borderId="15" xfId="0" applyFont="1" applyFill="1" applyBorder="1"/>
    <xf numFmtId="0" fontId="6" fillId="6" borderId="0" xfId="0" applyFont="1" applyFill="1" applyBorder="1"/>
    <xf numFmtId="0" fontId="13" fillId="6" borderId="0" xfId="0" applyFont="1" applyFill="1" applyBorder="1"/>
    <xf numFmtId="0" fontId="4" fillId="6" borderId="0" xfId="0" applyFont="1" applyFill="1" applyBorder="1"/>
    <xf numFmtId="0" fontId="4" fillId="6" borderId="0" xfId="0" applyFont="1" applyFill="1" applyBorder="1" applyAlignment="1"/>
    <xf numFmtId="0" fontId="4" fillId="6" borderId="0" xfId="0" applyFont="1" applyFill="1" applyBorder="1" applyAlignment="1">
      <alignment horizontal="left" vertical="center"/>
    </xf>
    <xf numFmtId="0" fontId="4" fillId="6" borderId="0" xfId="0" applyFont="1" applyFill="1" applyAlignment="1"/>
    <xf numFmtId="0" fontId="4" fillId="6" borderId="8" xfId="0" applyFont="1" applyFill="1" applyBorder="1"/>
    <xf numFmtId="0" fontId="4" fillId="6" borderId="9" xfId="0" applyFont="1" applyFill="1" applyBorder="1"/>
    <xf numFmtId="0" fontId="4" fillId="6" borderId="10" xfId="0" applyFont="1" applyFill="1" applyBorder="1"/>
    <xf numFmtId="0" fontId="4" fillId="6" borderId="11" xfId="0" applyFont="1" applyFill="1" applyBorder="1"/>
    <xf numFmtId="0" fontId="4" fillId="6" borderId="2" xfId="0" applyFon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6" fillId="7" borderId="0" xfId="0" applyFont="1" applyFill="1" applyBorder="1"/>
    <xf numFmtId="0" fontId="13" fillId="7" borderId="0" xfId="0" applyFont="1" applyFill="1" applyBorder="1"/>
    <xf numFmtId="0" fontId="4" fillId="7" borderId="0" xfId="0" applyFont="1" applyFill="1" applyBorder="1"/>
    <xf numFmtId="0" fontId="4" fillId="7" borderId="5" xfId="0" applyFont="1" applyFill="1" applyBorder="1"/>
    <xf numFmtId="0" fontId="4" fillId="7" borderId="6" xfId="0" applyFont="1" applyFill="1" applyBorder="1"/>
    <xf numFmtId="0" fontId="4" fillId="7" borderId="7" xfId="0" applyFont="1" applyFill="1" applyBorder="1"/>
    <xf numFmtId="0" fontId="4" fillId="7" borderId="18" xfId="0" applyFont="1" applyFill="1" applyBorder="1"/>
    <xf numFmtId="0" fontId="4" fillId="7" borderId="16" xfId="0" applyFont="1" applyFill="1" applyBorder="1"/>
    <xf numFmtId="0" fontId="4" fillId="7" borderId="17" xfId="0" applyFont="1" applyFill="1" applyBorder="1"/>
    <xf numFmtId="0" fontId="4" fillId="7" borderId="13" xfId="0" applyFont="1" applyFill="1" applyBorder="1"/>
    <xf numFmtId="0" fontId="4" fillId="7" borderId="14" xfId="0" applyFont="1" applyFill="1" applyBorder="1"/>
    <xf numFmtId="0" fontId="4" fillId="7" borderId="15" xfId="0" applyFont="1" applyFill="1" applyBorder="1"/>
    <xf numFmtId="0" fontId="4" fillId="7" borderId="8" xfId="0" applyFont="1" applyFill="1" applyBorder="1"/>
    <xf numFmtId="0" fontId="4" fillId="7" borderId="9" xfId="0" applyFont="1" applyFill="1" applyBorder="1"/>
    <xf numFmtId="0" fontId="4" fillId="7" borderId="11" xfId="0" applyFont="1" applyFill="1" applyBorder="1"/>
    <xf numFmtId="0" fontId="4" fillId="7" borderId="2" xfId="0" applyFont="1" applyFill="1" applyBorder="1"/>
    <xf numFmtId="0" fontId="13" fillId="8" borderId="0" xfId="0" applyFont="1" applyFill="1" applyBorder="1"/>
    <xf numFmtId="0" fontId="4" fillId="8" borderId="0" xfId="0" applyFont="1" applyFill="1" applyBorder="1"/>
    <xf numFmtId="0" fontId="6" fillId="8" borderId="0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0" fontId="16" fillId="8" borderId="0" xfId="0" applyFont="1" applyFill="1" applyBorder="1"/>
    <xf numFmtId="0" fontId="13" fillId="9" borderId="0" xfId="0" applyFont="1" applyFill="1" applyBorder="1"/>
    <xf numFmtId="0" fontId="4" fillId="9" borderId="0" xfId="0" applyFont="1" applyFill="1" applyBorder="1"/>
    <xf numFmtId="0" fontId="13" fillId="3" borderId="19" xfId="0" applyFont="1" applyFill="1" applyBorder="1"/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6" fillId="2" borderId="20" xfId="0" applyFont="1" applyFill="1" applyBorder="1"/>
    <xf numFmtId="0" fontId="7" fillId="3" borderId="19" xfId="0" applyFont="1" applyFill="1" applyBorder="1"/>
    <xf numFmtId="0" fontId="13" fillId="10" borderId="18" xfId="0" applyFont="1" applyFill="1" applyBorder="1"/>
    <xf numFmtId="0" fontId="4" fillId="10" borderId="16" xfId="0" applyFont="1" applyFill="1" applyBorder="1"/>
    <xf numFmtId="0" fontId="4" fillId="10" borderId="17" xfId="0" applyFont="1" applyFill="1" applyBorder="1"/>
    <xf numFmtId="0" fontId="4" fillId="10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/>
    <xf numFmtId="0" fontId="4" fillId="10" borderId="0" xfId="0" applyFont="1" applyFill="1" applyBorder="1"/>
    <xf numFmtId="0" fontId="4" fillId="10" borderId="20" xfId="0" applyFont="1" applyFill="1" applyBorder="1"/>
    <xf numFmtId="0" fontId="13" fillId="10" borderId="19" xfId="0" applyFont="1" applyFill="1" applyBorder="1"/>
    <xf numFmtId="0" fontId="4" fillId="10" borderId="8" xfId="0" applyFont="1" applyFill="1" applyBorder="1"/>
    <xf numFmtId="0" fontId="4" fillId="10" borderId="9" xfId="0" applyFont="1" applyFill="1" applyBorder="1"/>
    <xf numFmtId="0" fontId="4" fillId="10" borderId="10" xfId="0" applyFont="1" applyFill="1" applyBorder="1"/>
    <xf numFmtId="0" fontId="4" fillId="10" borderId="13" xfId="0" applyFont="1" applyFill="1" applyBorder="1"/>
    <xf numFmtId="0" fontId="4" fillId="10" borderId="14" xfId="0" applyFont="1" applyFill="1" applyBorder="1"/>
    <xf numFmtId="0" fontId="4" fillId="10" borderId="15" xfId="0" applyFont="1" applyFill="1" applyBorder="1"/>
    <xf numFmtId="0" fontId="7" fillId="10" borderId="19" xfId="0" applyFont="1" applyFill="1" applyBorder="1"/>
    <xf numFmtId="0" fontId="7" fillId="10" borderId="0" xfId="0" applyFont="1" applyFill="1" applyBorder="1"/>
    <xf numFmtId="0" fontId="15" fillId="10" borderId="0" xfId="0" applyFont="1" applyFill="1" applyBorder="1"/>
    <xf numFmtId="0" fontId="15" fillId="10" borderId="20" xfId="0" applyFont="1" applyFill="1" applyBorder="1"/>
    <xf numFmtId="0" fontId="4" fillId="10" borderId="5" xfId="0" applyFont="1" applyFill="1" applyBorder="1"/>
    <xf numFmtId="0" fontId="4" fillId="10" borderId="6" xfId="0" applyFont="1" applyFill="1" applyBorder="1"/>
    <xf numFmtId="0" fontId="4" fillId="10" borderId="7" xfId="0" applyFont="1" applyFill="1" applyBorder="1"/>
    <xf numFmtId="0" fontId="4" fillId="10" borderId="19" xfId="0" applyFont="1" applyFill="1" applyBorder="1" applyAlignment="1">
      <alignment horizontal="left" vertical="center"/>
    </xf>
    <xf numFmtId="0" fontId="14" fillId="3" borderId="18" xfId="0" applyFont="1" applyFill="1" applyBorder="1"/>
    <xf numFmtId="0" fontId="14" fillId="10" borderId="19" xfId="0" applyFont="1" applyFill="1" applyBorder="1"/>
    <xf numFmtId="0" fontId="6" fillId="10" borderId="19" xfId="0" applyFont="1" applyFill="1" applyBorder="1"/>
    <xf numFmtId="0" fontId="6" fillId="10" borderId="0" xfId="0" applyFont="1" applyFill="1" applyBorder="1"/>
    <xf numFmtId="0" fontId="6" fillId="10" borderId="20" xfId="0" applyFont="1" applyFill="1" applyBorder="1"/>
    <xf numFmtId="0" fontId="13" fillId="11" borderId="18" xfId="0" applyFont="1" applyFill="1" applyBorder="1"/>
    <xf numFmtId="0" fontId="4" fillId="11" borderId="16" xfId="0" applyFont="1" applyFill="1" applyBorder="1"/>
    <xf numFmtId="0" fontId="4" fillId="11" borderId="17" xfId="0" applyFont="1" applyFill="1" applyBorder="1"/>
    <xf numFmtId="0" fontId="6" fillId="11" borderId="19" xfId="0" applyFont="1" applyFill="1" applyBorder="1"/>
    <xf numFmtId="0" fontId="6" fillId="11" borderId="0" xfId="0" applyFont="1" applyFill="1" applyBorder="1"/>
    <xf numFmtId="0" fontId="6" fillId="11" borderId="20" xfId="0" applyFont="1" applyFill="1" applyBorder="1"/>
    <xf numFmtId="0" fontId="4" fillId="11" borderId="21" xfId="0" applyFont="1" applyFill="1" applyBorder="1"/>
    <xf numFmtId="0" fontId="4" fillId="11" borderId="20" xfId="0" applyFont="1" applyFill="1" applyBorder="1"/>
    <xf numFmtId="0" fontId="4" fillId="11" borderId="0" xfId="0" applyFont="1" applyFill="1" applyBorder="1"/>
    <xf numFmtId="0" fontId="13" fillId="11" borderId="19" xfId="0" applyFont="1" applyFill="1" applyBorder="1"/>
    <xf numFmtId="0" fontId="4" fillId="11" borderId="13" xfId="0" applyFont="1" applyFill="1" applyBorder="1"/>
    <xf numFmtId="0" fontId="4" fillId="11" borderId="14" xfId="0" applyFont="1" applyFill="1" applyBorder="1"/>
    <xf numFmtId="0" fontId="4" fillId="11" borderId="15" xfId="0" applyFont="1" applyFill="1" applyBorder="1"/>
    <xf numFmtId="0" fontId="4" fillId="11" borderId="19" xfId="0" applyFont="1" applyFill="1" applyBorder="1"/>
    <xf numFmtId="0" fontId="8" fillId="11" borderId="0" xfId="0" applyFont="1" applyFill="1" applyBorder="1"/>
    <xf numFmtId="0" fontId="4" fillId="11" borderId="5" xfId="0" applyFont="1" applyFill="1" applyBorder="1"/>
    <xf numFmtId="0" fontId="4" fillId="11" borderId="6" xfId="0" applyFont="1" applyFill="1" applyBorder="1"/>
    <xf numFmtId="0" fontId="4" fillId="11" borderId="7" xfId="0" applyFont="1" applyFill="1" applyBorder="1"/>
    <xf numFmtId="0" fontId="4" fillId="11" borderId="11" xfId="0" applyFont="1" applyFill="1" applyBorder="1"/>
    <xf numFmtId="0" fontId="4" fillId="11" borderId="2" xfId="0" applyFont="1" applyFill="1" applyBorder="1"/>
    <xf numFmtId="0" fontId="4" fillId="11" borderId="12" xfId="0" applyFont="1" applyFill="1" applyBorder="1"/>
    <xf numFmtId="0" fontId="13" fillId="6" borderId="18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13" fillId="6" borderId="19" xfId="0" applyFont="1" applyFill="1" applyBorder="1"/>
    <xf numFmtId="0" fontId="4" fillId="6" borderId="20" xfId="0" applyFont="1" applyFill="1" applyBorder="1"/>
    <xf numFmtId="0" fontId="6" fillId="6" borderId="19" xfId="0" applyFont="1" applyFill="1" applyBorder="1"/>
    <xf numFmtId="0" fontId="6" fillId="6" borderId="20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6" fillId="9" borderId="0" xfId="0" applyFont="1" applyFill="1" applyAlignment="1"/>
    <xf numFmtId="164" fontId="4" fillId="2" borderId="5" xfId="0" applyNumberFormat="1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left"/>
    </xf>
    <xf numFmtId="164" fontId="4" fillId="10" borderId="5" xfId="0" applyNumberFormat="1" applyFont="1" applyFill="1" applyBorder="1" applyAlignment="1">
      <alignment horizontal="left"/>
    </xf>
    <xf numFmtId="164" fontId="4" fillId="10" borderId="6" xfId="0" applyNumberFormat="1" applyFont="1" applyFill="1" applyBorder="1" applyAlignment="1">
      <alignment horizontal="left"/>
    </xf>
    <xf numFmtId="164" fontId="4" fillId="10" borderId="7" xfId="0" applyNumberFormat="1" applyFont="1" applyFill="1" applyBorder="1" applyAlignment="1">
      <alignment horizontal="left"/>
    </xf>
    <xf numFmtId="164" fontId="4" fillId="8" borderId="5" xfId="0" applyNumberFormat="1" applyFont="1" applyFill="1" applyBorder="1" applyAlignment="1">
      <alignment horizontal="left"/>
    </xf>
    <xf numFmtId="164" fontId="4" fillId="8" borderId="6" xfId="0" applyNumberFormat="1" applyFont="1" applyFill="1" applyBorder="1" applyAlignment="1">
      <alignment horizontal="left"/>
    </xf>
    <xf numFmtId="164" fontId="4" fillId="8" borderId="7" xfId="0" applyNumberFormat="1" applyFont="1" applyFill="1" applyBorder="1" applyAlignment="1">
      <alignment horizontal="left"/>
    </xf>
    <xf numFmtId="164" fontId="4" fillId="6" borderId="5" xfId="0" applyNumberFormat="1" applyFont="1" applyFill="1" applyBorder="1" applyAlignment="1">
      <alignment horizontal="left"/>
    </xf>
    <xf numFmtId="164" fontId="4" fillId="6" borderId="6" xfId="0" applyNumberFormat="1" applyFont="1" applyFill="1" applyBorder="1" applyAlignment="1">
      <alignment horizontal="left"/>
    </xf>
    <xf numFmtId="164" fontId="4" fillId="6" borderId="7" xfId="0" applyNumberFormat="1" applyFont="1" applyFill="1" applyBorder="1" applyAlignment="1">
      <alignment horizontal="left"/>
    </xf>
    <xf numFmtId="0" fontId="4" fillId="11" borderId="5" xfId="0" applyFont="1" applyFill="1" applyBorder="1" applyAlignment="1">
      <alignment horizontal="left"/>
    </xf>
    <xf numFmtId="0" fontId="4" fillId="11" borderId="6" xfId="0" applyFont="1" applyFill="1" applyBorder="1" applyAlignment="1">
      <alignment horizontal="left"/>
    </xf>
    <xf numFmtId="0" fontId="4" fillId="11" borderId="7" xfId="0" applyFont="1" applyFill="1" applyBorder="1" applyAlignment="1">
      <alignment horizontal="left"/>
    </xf>
    <xf numFmtId="164" fontId="4" fillId="11" borderId="5" xfId="0" applyNumberFormat="1" applyFont="1" applyFill="1" applyBorder="1" applyAlignment="1">
      <alignment horizontal="left"/>
    </xf>
    <xf numFmtId="164" fontId="4" fillId="11" borderId="6" xfId="0" applyNumberFormat="1" applyFont="1" applyFill="1" applyBorder="1" applyAlignment="1">
      <alignment horizontal="left"/>
    </xf>
    <xf numFmtId="164" fontId="4" fillId="11" borderId="7" xfId="0" applyNumberFormat="1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0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1</xdr:col>
          <xdr:colOff>200025</xdr:colOff>
          <xdr:row>40</xdr:row>
          <xdr:rowOff>180975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0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</xdr:row>
          <xdr:rowOff>9525</xdr:rowOff>
        </xdr:from>
        <xdr:to>
          <xdr:col>1</xdr:col>
          <xdr:colOff>200025</xdr:colOff>
          <xdr:row>54</xdr:row>
          <xdr:rowOff>180975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0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</xdr:row>
          <xdr:rowOff>9525</xdr:rowOff>
        </xdr:from>
        <xdr:to>
          <xdr:col>1</xdr:col>
          <xdr:colOff>200025</xdr:colOff>
          <xdr:row>54</xdr:row>
          <xdr:rowOff>180975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</xdr:row>
          <xdr:rowOff>9525</xdr:rowOff>
        </xdr:from>
        <xdr:to>
          <xdr:col>1</xdr:col>
          <xdr:colOff>200025</xdr:colOff>
          <xdr:row>54</xdr:row>
          <xdr:rowOff>180975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0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</xdr:row>
          <xdr:rowOff>9525</xdr:rowOff>
        </xdr:from>
        <xdr:to>
          <xdr:col>1</xdr:col>
          <xdr:colOff>200025</xdr:colOff>
          <xdr:row>54</xdr:row>
          <xdr:rowOff>180975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</xdr:row>
          <xdr:rowOff>9525</xdr:rowOff>
        </xdr:from>
        <xdr:to>
          <xdr:col>1</xdr:col>
          <xdr:colOff>200025</xdr:colOff>
          <xdr:row>54</xdr:row>
          <xdr:rowOff>180975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0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62</xdr:row>
          <xdr:rowOff>9525</xdr:rowOff>
        </xdr:from>
        <xdr:to>
          <xdr:col>0</xdr:col>
          <xdr:colOff>200025</xdr:colOff>
          <xdr:row>62</xdr:row>
          <xdr:rowOff>190500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62</xdr:row>
          <xdr:rowOff>9525</xdr:rowOff>
        </xdr:from>
        <xdr:to>
          <xdr:col>4</xdr:col>
          <xdr:colOff>200025</xdr:colOff>
          <xdr:row>62</xdr:row>
          <xdr:rowOff>190500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0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62</xdr:row>
          <xdr:rowOff>9525</xdr:rowOff>
        </xdr:from>
        <xdr:to>
          <xdr:col>4</xdr:col>
          <xdr:colOff>200025</xdr:colOff>
          <xdr:row>62</xdr:row>
          <xdr:rowOff>190500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0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9525</xdr:rowOff>
        </xdr:from>
        <xdr:to>
          <xdr:col>2</xdr:col>
          <xdr:colOff>200025</xdr:colOff>
          <xdr:row>62</xdr:row>
          <xdr:rowOff>190500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0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62</xdr:row>
          <xdr:rowOff>9525</xdr:rowOff>
        </xdr:from>
        <xdr:to>
          <xdr:col>7</xdr:col>
          <xdr:colOff>200025</xdr:colOff>
          <xdr:row>62</xdr:row>
          <xdr:rowOff>190500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0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78</xdr:row>
          <xdr:rowOff>9525</xdr:rowOff>
        </xdr:from>
        <xdr:to>
          <xdr:col>0</xdr:col>
          <xdr:colOff>200025</xdr:colOff>
          <xdr:row>78</xdr:row>
          <xdr:rowOff>190500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0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78</xdr:row>
          <xdr:rowOff>9525</xdr:rowOff>
        </xdr:from>
        <xdr:to>
          <xdr:col>4</xdr:col>
          <xdr:colOff>200025</xdr:colOff>
          <xdr:row>78</xdr:row>
          <xdr:rowOff>190500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0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78</xdr:row>
          <xdr:rowOff>9525</xdr:rowOff>
        </xdr:from>
        <xdr:to>
          <xdr:col>4</xdr:col>
          <xdr:colOff>200025</xdr:colOff>
          <xdr:row>78</xdr:row>
          <xdr:rowOff>190500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</xdr:row>
          <xdr:rowOff>9525</xdr:rowOff>
        </xdr:from>
        <xdr:to>
          <xdr:col>2</xdr:col>
          <xdr:colOff>200025</xdr:colOff>
          <xdr:row>78</xdr:row>
          <xdr:rowOff>190500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0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78</xdr:row>
          <xdr:rowOff>9525</xdr:rowOff>
        </xdr:from>
        <xdr:to>
          <xdr:col>7</xdr:col>
          <xdr:colOff>200025</xdr:colOff>
          <xdr:row>78</xdr:row>
          <xdr:rowOff>190500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9525</xdr:rowOff>
        </xdr:from>
        <xdr:to>
          <xdr:col>2</xdr:col>
          <xdr:colOff>66675</xdr:colOff>
          <xdr:row>7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9525</xdr:rowOff>
        </xdr:from>
        <xdr:to>
          <xdr:col>2</xdr:col>
          <xdr:colOff>66675</xdr:colOff>
          <xdr:row>8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9525</xdr:rowOff>
        </xdr:from>
        <xdr:to>
          <xdr:col>2</xdr:col>
          <xdr:colOff>66675</xdr:colOff>
          <xdr:row>9</xdr:row>
          <xdr:rowOff>190500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9525</xdr:rowOff>
        </xdr:from>
        <xdr:to>
          <xdr:col>2</xdr:col>
          <xdr:colOff>66675</xdr:colOff>
          <xdr:row>10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9525</xdr:rowOff>
        </xdr:from>
        <xdr:to>
          <xdr:col>2</xdr:col>
          <xdr:colOff>66675</xdr:colOff>
          <xdr:row>11</xdr:row>
          <xdr:rowOff>190500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9525</xdr:rowOff>
        </xdr:from>
        <xdr:to>
          <xdr:col>2</xdr:col>
          <xdr:colOff>66675</xdr:colOff>
          <xdr:row>12</xdr:row>
          <xdr:rowOff>190500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9525</xdr:rowOff>
        </xdr:from>
        <xdr:to>
          <xdr:col>2</xdr:col>
          <xdr:colOff>66675</xdr:colOff>
          <xdr:row>7</xdr:row>
          <xdr:rowOff>190500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9525</xdr:rowOff>
        </xdr:from>
        <xdr:to>
          <xdr:col>2</xdr:col>
          <xdr:colOff>66675</xdr:colOff>
          <xdr:row>8</xdr:row>
          <xdr:rowOff>190500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9525</xdr:rowOff>
        </xdr:from>
        <xdr:to>
          <xdr:col>2</xdr:col>
          <xdr:colOff>66675</xdr:colOff>
          <xdr:row>9</xdr:row>
          <xdr:rowOff>190500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9525</xdr:rowOff>
        </xdr:from>
        <xdr:to>
          <xdr:col>2</xdr:col>
          <xdr:colOff>66675</xdr:colOff>
          <xdr:row>10</xdr:row>
          <xdr:rowOff>190500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0</xdr:rowOff>
        </xdr:from>
        <xdr:to>
          <xdr:col>2</xdr:col>
          <xdr:colOff>66675</xdr:colOff>
          <xdr:row>11</xdr:row>
          <xdr:rowOff>180975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9525</xdr:rowOff>
        </xdr:from>
        <xdr:to>
          <xdr:col>2</xdr:col>
          <xdr:colOff>66675</xdr:colOff>
          <xdr:row>11</xdr:row>
          <xdr:rowOff>190500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3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hyperlink" Target="mailto:kuruphin.c@chaosua.com" TargetMode="Externa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Relationship Id="rId9" Type="http://schemas.openxmlformats.org/officeDocument/2006/relationships/ctrlProp" Target="../ctrlProps/ctrlProp3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616F-EC34-4F2E-865C-8DF1020B13EA}">
  <dimension ref="A1:K108"/>
  <sheetViews>
    <sheetView showGridLines="0" tabSelected="1" workbookViewId="0"/>
  </sheetViews>
  <sheetFormatPr defaultRowHeight="21" outlineLevelRow="1" x14ac:dyDescent="0.45"/>
  <cols>
    <col min="1" max="1" width="7.5703125" style="1" customWidth="1"/>
    <col min="2" max="2" width="9.28515625" style="1" customWidth="1"/>
    <col min="3" max="3" width="9.140625" style="1"/>
    <col min="4" max="4" width="6" style="1" bestFit="1" customWidth="1"/>
    <col min="5" max="5" width="14.140625" style="1" customWidth="1"/>
    <col min="6" max="6" width="10.85546875" style="1" bestFit="1" customWidth="1"/>
    <col min="7" max="7" width="5.5703125" style="1" bestFit="1" customWidth="1"/>
    <col min="8" max="10" width="9.140625" style="1"/>
    <col min="11" max="16384" width="9.140625" style="6"/>
  </cols>
  <sheetData>
    <row r="1" spans="1:11" x14ac:dyDescent="0.45">
      <c r="A1" s="1" t="s">
        <v>113</v>
      </c>
    </row>
    <row r="2" spans="1:11" x14ac:dyDescent="0.45">
      <c r="A2" s="202" t="s">
        <v>88</v>
      </c>
      <c r="B2" s="202"/>
      <c r="C2" s="202"/>
      <c r="D2" s="202"/>
      <c r="E2" s="202"/>
      <c r="F2" s="202"/>
      <c r="G2" s="202"/>
      <c r="H2" s="202"/>
      <c r="I2" s="202"/>
      <c r="J2" s="202"/>
      <c r="K2" s="135"/>
    </row>
    <row r="3" spans="1:11" x14ac:dyDescent="0.45">
      <c r="A3" s="134" t="s">
        <v>100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</row>
    <row r="4" spans="1:11" x14ac:dyDescent="0.45">
      <c r="A4" s="127" t="s">
        <v>87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s="13" customFormat="1" x14ac:dyDescent="0.45">
      <c r="A5" s="129"/>
      <c r="B5" s="129" t="s">
        <v>89</v>
      </c>
      <c r="C5" s="129"/>
      <c r="D5" s="129"/>
      <c r="E5" s="129"/>
      <c r="F5" s="129"/>
      <c r="G5" s="129" t="s">
        <v>94</v>
      </c>
      <c r="H5" s="129"/>
      <c r="I5" s="129"/>
      <c r="J5" s="129"/>
      <c r="K5" s="129"/>
    </row>
    <row r="6" spans="1:11" x14ac:dyDescent="0.45">
      <c r="A6" s="128"/>
      <c r="B6" s="130" t="s">
        <v>103</v>
      </c>
      <c r="C6" s="131"/>
      <c r="D6" s="131"/>
      <c r="E6" s="132"/>
      <c r="F6" s="128"/>
      <c r="G6" s="209">
        <f ca="1">NOW()</f>
        <v>45859.680692824077</v>
      </c>
      <c r="H6" s="210"/>
      <c r="I6" s="210"/>
      <c r="J6" s="211"/>
      <c r="K6" s="129"/>
    </row>
    <row r="7" spans="1:11" s="13" customFormat="1" x14ac:dyDescent="0.45">
      <c r="A7" s="129"/>
      <c r="B7" s="129" t="s">
        <v>91</v>
      </c>
      <c r="C7" s="129"/>
      <c r="D7" s="129"/>
      <c r="E7" s="129"/>
      <c r="F7" s="129"/>
      <c r="G7" s="129" t="s">
        <v>92</v>
      </c>
      <c r="H7" s="129"/>
      <c r="I7" s="129"/>
      <c r="J7" s="129"/>
      <c r="K7" s="129"/>
    </row>
    <row r="8" spans="1:11" x14ac:dyDescent="0.45">
      <c r="A8" s="128"/>
      <c r="B8" s="130" t="s">
        <v>104</v>
      </c>
      <c r="C8" s="131"/>
      <c r="D8" s="131"/>
      <c r="E8" s="132"/>
      <c r="F8" s="128"/>
      <c r="G8" s="130" t="s">
        <v>105</v>
      </c>
      <c r="H8" s="131"/>
      <c r="I8" s="131"/>
      <c r="J8" s="132"/>
      <c r="K8" s="128"/>
    </row>
    <row r="9" spans="1:11" s="40" customFormat="1" ht="13.5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</row>
    <row r="10" spans="1:11" s="13" customFormat="1" x14ac:dyDescent="0.45">
      <c r="A10" s="111"/>
      <c r="B10" s="111" t="s">
        <v>93</v>
      </c>
      <c r="C10" s="111"/>
      <c r="D10" s="111" t="s">
        <v>23</v>
      </c>
      <c r="E10" s="111"/>
      <c r="F10" s="111"/>
      <c r="G10" s="111"/>
      <c r="H10" s="111"/>
      <c r="I10" s="111"/>
      <c r="J10" s="111"/>
      <c r="K10" s="111"/>
    </row>
    <row r="11" spans="1:11" s="13" customFormat="1" hidden="1" outlineLevel="1" x14ac:dyDescent="0.45">
      <c r="A11" s="112" t="s">
        <v>95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</row>
    <row r="12" spans="1:11" hidden="1" outlineLevel="1" x14ac:dyDescent="0.45">
      <c r="A12" s="113"/>
      <c r="B12" s="113" t="s">
        <v>24</v>
      </c>
      <c r="C12" s="113"/>
      <c r="D12" s="113"/>
      <c r="E12" s="114"/>
      <c r="F12" s="115"/>
      <c r="G12" s="115"/>
      <c r="H12" s="115"/>
      <c r="I12" s="115"/>
      <c r="J12" s="116"/>
      <c r="K12" s="113"/>
    </row>
    <row r="13" spans="1:11" hidden="1" outlineLevel="1" x14ac:dyDescent="0.45">
      <c r="A13" s="113"/>
      <c r="B13" s="113" t="s">
        <v>25</v>
      </c>
      <c r="C13" s="113"/>
      <c r="D13" s="113"/>
      <c r="E13" s="114"/>
      <c r="F13" s="115"/>
      <c r="G13" s="115"/>
      <c r="H13" s="115"/>
      <c r="I13" s="115"/>
      <c r="J13" s="115"/>
      <c r="K13" s="113"/>
    </row>
    <row r="14" spans="1:11" hidden="1" outlineLevel="1" x14ac:dyDescent="0.45">
      <c r="A14" s="113"/>
      <c r="B14" s="113" t="s">
        <v>26</v>
      </c>
      <c r="C14" s="113"/>
      <c r="D14" s="117"/>
      <c r="E14" s="118"/>
      <c r="F14" s="118"/>
      <c r="G14" s="118"/>
      <c r="H14" s="118"/>
      <c r="I14" s="118"/>
      <c r="J14" s="119"/>
      <c r="K14" s="113"/>
    </row>
    <row r="15" spans="1:11" hidden="1" outlineLevel="1" x14ac:dyDescent="0.45">
      <c r="A15" s="113"/>
      <c r="B15" s="114"/>
      <c r="C15" s="115"/>
      <c r="D15" s="115"/>
      <c r="E15" s="115"/>
      <c r="F15" s="115"/>
      <c r="G15" s="115"/>
      <c r="H15" s="115"/>
      <c r="I15" s="115"/>
      <c r="J15" s="116"/>
      <c r="K15" s="113"/>
    </row>
    <row r="16" spans="1:11" hidden="1" outlineLevel="1" x14ac:dyDescent="0.45">
      <c r="A16" s="113"/>
      <c r="B16" s="113" t="s">
        <v>27</v>
      </c>
      <c r="C16" s="113"/>
      <c r="D16" s="113"/>
      <c r="E16" s="114"/>
      <c r="F16" s="115"/>
      <c r="G16" s="115"/>
      <c r="H16" s="115"/>
      <c r="I16" s="116"/>
      <c r="J16" s="113" t="s">
        <v>28</v>
      </c>
      <c r="K16" s="113"/>
    </row>
    <row r="17" spans="1:11" hidden="1" outlineLevel="1" x14ac:dyDescent="0.45">
      <c r="A17" s="113"/>
      <c r="B17" s="113" t="s">
        <v>29</v>
      </c>
      <c r="C17" s="113"/>
      <c r="D17" s="113"/>
      <c r="E17" s="114" t="s">
        <v>102</v>
      </c>
      <c r="F17" s="115"/>
      <c r="G17" s="115"/>
      <c r="H17" s="115"/>
      <c r="I17" s="115"/>
      <c r="J17" s="116"/>
      <c r="K17" s="113"/>
    </row>
    <row r="18" spans="1:11" hidden="1" outlineLevel="1" x14ac:dyDescent="0.45">
      <c r="A18" s="113"/>
      <c r="B18" s="113" t="s">
        <v>32</v>
      </c>
      <c r="C18" s="113"/>
      <c r="D18" s="113" t="s">
        <v>33</v>
      </c>
      <c r="E18" s="120"/>
      <c r="F18" s="122"/>
      <c r="G18" s="113" t="s">
        <v>34</v>
      </c>
      <c r="H18" s="120"/>
      <c r="I18" s="121"/>
      <c r="J18" s="122"/>
      <c r="K18" s="113"/>
    </row>
    <row r="19" spans="1:11" hidden="1" outlineLevel="1" x14ac:dyDescent="0.45">
      <c r="A19" s="113"/>
      <c r="B19" s="113" t="s">
        <v>35</v>
      </c>
      <c r="C19" s="113"/>
      <c r="D19" s="113" t="s">
        <v>37</v>
      </c>
      <c r="E19" s="113" t="s">
        <v>57</v>
      </c>
      <c r="F19" s="120"/>
      <c r="G19" s="115"/>
      <c r="H19" s="115"/>
      <c r="I19" s="115"/>
      <c r="J19" s="116"/>
      <c r="K19" s="113"/>
    </row>
    <row r="20" spans="1:11" hidden="1" outlineLevel="1" x14ac:dyDescent="0.45">
      <c r="A20" s="113"/>
      <c r="B20" s="113" t="s">
        <v>38</v>
      </c>
      <c r="C20" s="113"/>
      <c r="D20" s="113"/>
      <c r="E20" s="113"/>
      <c r="F20" s="113"/>
      <c r="G20" s="113"/>
      <c r="H20" s="113"/>
      <c r="I20" s="113"/>
      <c r="J20" s="113"/>
      <c r="K20" s="113"/>
    </row>
    <row r="21" spans="1:11" hidden="1" outlineLevel="1" x14ac:dyDescent="0.45">
      <c r="A21" s="113"/>
      <c r="B21" s="123"/>
      <c r="C21" s="124"/>
      <c r="D21" s="124"/>
      <c r="E21" s="124"/>
      <c r="F21" s="124"/>
      <c r="G21" s="124"/>
      <c r="H21" s="124"/>
      <c r="I21" s="124"/>
      <c r="J21" s="124"/>
      <c r="K21" s="113"/>
    </row>
    <row r="22" spans="1:11" hidden="1" outlineLevel="1" x14ac:dyDescent="0.45">
      <c r="A22" s="113"/>
      <c r="B22" s="125"/>
      <c r="C22" s="126"/>
      <c r="D22" s="126"/>
      <c r="E22" s="126"/>
      <c r="F22" s="126"/>
      <c r="G22" s="126"/>
      <c r="H22" s="126"/>
      <c r="I22" s="126"/>
      <c r="J22" s="126"/>
      <c r="K22" s="113"/>
    </row>
    <row r="23" spans="1:11" hidden="1" outlineLevel="1" x14ac:dyDescent="0.45">
      <c r="A23" s="113"/>
      <c r="B23" s="125"/>
      <c r="C23" s="126"/>
      <c r="D23" s="126"/>
      <c r="E23" s="126"/>
      <c r="F23" s="126"/>
      <c r="G23" s="126"/>
      <c r="H23" s="126"/>
      <c r="I23" s="126"/>
      <c r="J23" s="126"/>
      <c r="K23" s="113"/>
    </row>
    <row r="24" spans="1:11" hidden="1" outlineLevel="1" x14ac:dyDescent="0.45">
      <c r="A24" s="113"/>
      <c r="B24" s="120"/>
      <c r="C24" s="121"/>
      <c r="D24" s="121"/>
      <c r="E24" s="121"/>
      <c r="F24" s="121"/>
      <c r="G24" s="121"/>
      <c r="H24" s="121"/>
      <c r="I24" s="121"/>
      <c r="J24" s="121"/>
      <c r="K24" s="113"/>
    </row>
    <row r="25" spans="1:11" hidden="1" outlineLevel="1" x14ac:dyDescent="0.4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1:11" s="13" customFormat="1" collapsed="1" x14ac:dyDescent="0.45">
      <c r="A26" s="96"/>
      <c r="B26" s="96" t="s">
        <v>93</v>
      </c>
      <c r="C26" s="96"/>
      <c r="D26" s="96" t="s">
        <v>106</v>
      </c>
      <c r="E26" s="96"/>
      <c r="F26" s="96"/>
      <c r="G26" s="96"/>
      <c r="H26" s="96"/>
      <c r="I26" s="96"/>
      <c r="J26" s="96"/>
      <c r="K26" s="96"/>
    </row>
    <row r="27" spans="1:11" s="13" customFormat="1" hidden="1" outlineLevel="1" x14ac:dyDescent="0.45">
      <c r="A27" s="97" t="s">
        <v>95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1:11" s="13" customFormat="1" hidden="1" outlineLevel="1" x14ac:dyDescent="0.45">
      <c r="A28" s="97"/>
      <c r="B28" s="98" t="s">
        <v>107</v>
      </c>
      <c r="C28" s="96"/>
      <c r="D28" s="96"/>
      <c r="E28" s="96"/>
      <c r="F28" s="96"/>
      <c r="G28" s="96"/>
      <c r="H28" s="96"/>
      <c r="I28" s="96"/>
      <c r="J28" s="96"/>
      <c r="K28" s="96"/>
    </row>
    <row r="29" spans="1:11" s="23" customFormat="1" hidden="1" outlineLevel="1" x14ac:dyDescent="0.45">
      <c r="A29" s="99"/>
      <c r="B29" s="100"/>
      <c r="C29" s="99" t="s">
        <v>68</v>
      </c>
      <c r="D29" s="99"/>
      <c r="E29" s="99"/>
      <c r="F29" s="99"/>
      <c r="G29" s="99"/>
      <c r="H29" s="99"/>
      <c r="I29" s="99"/>
      <c r="J29" s="99"/>
      <c r="K29" s="99"/>
    </row>
    <row r="30" spans="1:11" s="23" customFormat="1" hidden="1" outlineLevel="1" x14ac:dyDescent="0.45">
      <c r="A30" s="99"/>
      <c r="B30" s="100"/>
      <c r="C30" s="99" t="s">
        <v>69</v>
      </c>
      <c r="D30" s="99"/>
      <c r="E30" s="99"/>
      <c r="F30" s="99"/>
      <c r="G30" s="99"/>
      <c r="H30" s="99"/>
      <c r="I30" s="99"/>
      <c r="J30" s="99"/>
      <c r="K30" s="99"/>
    </row>
    <row r="31" spans="1:11" s="23" customFormat="1" hidden="1" outlineLevel="1" x14ac:dyDescent="0.45">
      <c r="A31" s="99"/>
      <c r="B31" s="100"/>
      <c r="C31" s="99" t="s">
        <v>70</v>
      </c>
      <c r="D31" s="99"/>
      <c r="E31" s="99"/>
      <c r="F31" s="99"/>
      <c r="G31" s="99"/>
      <c r="H31" s="99"/>
      <c r="I31" s="99"/>
      <c r="J31" s="99"/>
      <c r="K31" s="99"/>
    </row>
    <row r="32" spans="1:11" s="23" customFormat="1" hidden="1" outlineLevel="1" x14ac:dyDescent="0.45">
      <c r="A32" s="99"/>
      <c r="B32" s="100"/>
      <c r="C32" s="99" t="s">
        <v>75</v>
      </c>
      <c r="D32" s="99"/>
      <c r="E32" s="99"/>
      <c r="F32" s="99"/>
      <c r="G32" s="99"/>
      <c r="H32" s="99"/>
      <c r="I32" s="99"/>
      <c r="J32" s="99"/>
      <c r="K32" s="99"/>
    </row>
    <row r="33" spans="1:11" s="23" customFormat="1" hidden="1" outlineLevel="1" x14ac:dyDescent="0.45">
      <c r="A33" s="99"/>
      <c r="B33" s="100"/>
      <c r="C33" s="99" t="s">
        <v>73</v>
      </c>
      <c r="D33" s="99"/>
      <c r="E33" s="99"/>
      <c r="F33" s="99"/>
      <c r="G33" s="99"/>
      <c r="H33" s="99"/>
      <c r="I33" s="99"/>
      <c r="J33" s="99"/>
      <c r="K33" s="99"/>
    </row>
    <row r="34" spans="1:11" s="23" customFormat="1" hidden="1" outlineLevel="1" x14ac:dyDescent="0.45">
      <c r="A34" s="99"/>
      <c r="B34" s="100"/>
      <c r="C34" s="99" t="s">
        <v>71</v>
      </c>
      <c r="D34" s="99"/>
      <c r="E34" s="99"/>
      <c r="F34" s="99"/>
      <c r="G34" s="99"/>
      <c r="H34" s="99"/>
      <c r="I34" s="99"/>
      <c r="J34" s="99"/>
      <c r="K34" s="99"/>
    </row>
    <row r="35" spans="1:11" s="23" customFormat="1" hidden="1" outlineLevel="1" x14ac:dyDescent="0.45">
      <c r="A35" s="101"/>
      <c r="B35" s="101" t="s">
        <v>74</v>
      </c>
      <c r="C35" s="101"/>
      <c r="D35" s="101"/>
      <c r="E35" s="101"/>
      <c r="F35" s="101"/>
      <c r="G35" s="101"/>
      <c r="H35" s="101"/>
      <c r="I35" s="101"/>
      <c r="J35" s="101"/>
      <c r="K35" s="99"/>
    </row>
    <row r="36" spans="1:11" s="23" customFormat="1" hidden="1" outlineLevel="1" x14ac:dyDescent="0.45">
      <c r="A36" s="99"/>
      <c r="B36" s="102"/>
      <c r="C36" s="103"/>
      <c r="D36" s="103"/>
      <c r="E36" s="103"/>
      <c r="F36" s="103"/>
      <c r="G36" s="103"/>
      <c r="H36" s="103"/>
      <c r="I36" s="103"/>
      <c r="J36" s="104"/>
      <c r="K36" s="98"/>
    </row>
    <row r="37" spans="1:11" s="23" customFormat="1" hidden="1" outlineLevel="1" x14ac:dyDescent="0.45">
      <c r="A37" s="99"/>
      <c r="B37" s="105"/>
      <c r="C37" s="106"/>
      <c r="D37" s="106"/>
      <c r="E37" s="106"/>
      <c r="F37" s="106"/>
      <c r="G37" s="106"/>
      <c r="H37" s="106"/>
      <c r="I37" s="106"/>
      <c r="J37" s="107"/>
      <c r="K37" s="98"/>
    </row>
    <row r="38" spans="1:11" s="23" customFormat="1" hidden="1" outlineLevel="1" x14ac:dyDescent="0.45">
      <c r="A38" s="99"/>
      <c r="B38" s="105"/>
      <c r="C38" s="106"/>
      <c r="D38" s="106"/>
      <c r="E38" s="106"/>
      <c r="F38" s="106"/>
      <c r="G38" s="106"/>
      <c r="H38" s="106"/>
      <c r="I38" s="106"/>
      <c r="J38" s="107"/>
      <c r="K38" s="98"/>
    </row>
    <row r="39" spans="1:11" s="23" customFormat="1" hidden="1" outlineLevel="1" x14ac:dyDescent="0.45">
      <c r="A39" s="99"/>
      <c r="B39" s="108"/>
      <c r="C39" s="109"/>
      <c r="D39" s="109"/>
      <c r="E39" s="109"/>
      <c r="F39" s="109"/>
      <c r="G39" s="109"/>
      <c r="H39" s="109"/>
      <c r="I39" s="109"/>
      <c r="J39" s="110"/>
      <c r="K39" s="98"/>
    </row>
    <row r="40" spans="1:11" s="23" customFormat="1" hidden="1" outlineLevel="1" x14ac:dyDescent="0.45">
      <c r="A40" s="99"/>
      <c r="B40" s="98"/>
      <c r="C40" s="98"/>
      <c r="D40" s="98"/>
      <c r="E40" s="98"/>
      <c r="F40" s="98"/>
      <c r="G40" s="98"/>
      <c r="H40" s="98"/>
      <c r="I40" s="98"/>
      <c r="J40" s="98"/>
      <c r="K40" s="98"/>
    </row>
    <row r="41" spans="1:11" s="13" customFormat="1" collapsed="1" x14ac:dyDescent="0.45">
      <c r="A41" s="82"/>
      <c r="B41" s="82" t="s">
        <v>93</v>
      </c>
      <c r="C41" s="82"/>
      <c r="D41" s="82" t="s">
        <v>76</v>
      </c>
      <c r="E41" s="82"/>
      <c r="F41" s="82"/>
      <c r="G41" s="82"/>
      <c r="H41" s="82"/>
      <c r="I41" s="82"/>
      <c r="J41" s="82"/>
      <c r="K41" s="82"/>
    </row>
    <row r="42" spans="1:11" s="13" customFormat="1" hidden="1" outlineLevel="1" x14ac:dyDescent="0.45">
      <c r="A42" s="83" t="s">
        <v>95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</row>
    <row r="43" spans="1:11" s="13" customFormat="1" hidden="1" outlineLevel="1" x14ac:dyDescent="0.45">
      <c r="A43" s="83"/>
      <c r="B43" s="84" t="s">
        <v>107</v>
      </c>
      <c r="C43" s="82"/>
      <c r="D43" s="82"/>
      <c r="E43" s="82"/>
      <c r="F43" s="82"/>
      <c r="G43" s="82"/>
      <c r="H43" s="82"/>
      <c r="I43" s="82"/>
      <c r="J43" s="82"/>
      <c r="K43" s="82"/>
    </row>
    <row r="44" spans="1:11" s="23" customFormat="1" hidden="1" outlineLevel="1" x14ac:dyDescent="0.45">
      <c r="A44" s="85"/>
      <c r="B44" s="85"/>
      <c r="C44" s="85" t="s">
        <v>77</v>
      </c>
      <c r="D44" s="85"/>
      <c r="E44" s="85"/>
      <c r="F44" s="85"/>
      <c r="G44" s="85"/>
      <c r="H44" s="85"/>
      <c r="I44" s="85"/>
      <c r="J44" s="85"/>
      <c r="K44" s="85"/>
    </row>
    <row r="45" spans="1:11" s="23" customFormat="1" hidden="1" outlineLevel="1" x14ac:dyDescent="0.45">
      <c r="A45" s="85"/>
      <c r="B45" s="85"/>
      <c r="C45" s="85" t="s">
        <v>78</v>
      </c>
      <c r="D45" s="85"/>
      <c r="E45" s="85"/>
      <c r="F45" s="85"/>
      <c r="G45" s="85"/>
      <c r="H45" s="85"/>
      <c r="I45" s="85"/>
      <c r="J45" s="85"/>
      <c r="K45" s="85"/>
    </row>
    <row r="46" spans="1:11" s="23" customFormat="1" hidden="1" outlineLevel="1" x14ac:dyDescent="0.45">
      <c r="A46" s="85"/>
      <c r="B46" s="85"/>
      <c r="C46" s="85" t="s">
        <v>79</v>
      </c>
      <c r="D46" s="85"/>
      <c r="E46" s="85"/>
      <c r="F46" s="85"/>
      <c r="G46" s="85"/>
      <c r="H46" s="85"/>
      <c r="I46" s="85"/>
      <c r="J46" s="85"/>
      <c r="K46" s="85"/>
    </row>
    <row r="47" spans="1:11" s="23" customFormat="1" hidden="1" outlineLevel="1" x14ac:dyDescent="0.45">
      <c r="A47" s="85"/>
      <c r="B47" s="85"/>
      <c r="C47" s="85" t="s">
        <v>80</v>
      </c>
      <c r="D47" s="85"/>
      <c r="E47" s="85"/>
      <c r="F47" s="85"/>
      <c r="G47" s="85"/>
      <c r="H47" s="85"/>
      <c r="I47" s="85"/>
      <c r="J47" s="85"/>
      <c r="K47" s="85"/>
    </row>
    <row r="48" spans="1:11" s="23" customFormat="1" hidden="1" outlineLevel="1" x14ac:dyDescent="0.45">
      <c r="A48" s="85"/>
      <c r="B48" s="85"/>
      <c r="C48" s="85" t="s">
        <v>71</v>
      </c>
      <c r="D48" s="85"/>
      <c r="E48" s="85"/>
      <c r="F48" s="85"/>
      <c r="G48" s="85"/>
      <c r="H48" s="85"/>
      <c r="I48" s="85"/>
      <c r="J48" s="85"/>
      <c r="K48" s="85"/>
    </row>
    <row r="49" spans="1:11" s="23" customFormat="1" hidden="1" outlineLevel="1" x14ac:dyDescent="0.45">
      <c r="A49" s="86"/>
      <c r="B49" s="86" t="s">
        <v>81</v>
      </c>
      <c r="C49" s="86"/>
      <c r="D49" s="86"/>
      <c r="E49" s="86"/>
      <c r="F49" s="86"/>
      <c r="G49" s="86"/>
      <c r="H49" s="86"/>
      <c r="I49" s="86"/>
      <c r="J49" s="86"/>
      <c r="K49" s="85"/>
    </row>
    <row r="50" spans="1:11" s="23" customFormat="1" hidden="1" outlineLevel="1" x14ac:dyDescent="0.45">
      <c r="A50" s="85"/>
      <c r="B50" s="87"/>
      <c r="C50" s="88"/>
      <c r="D50" s="88"/>
      <c r="E50" s="88"/>
      <c r="F50" s="88"/>
      <c r="G50" s="88"/>
      <c r="H50" s="88"/>
      <c r="I50" s="88"/>
      <c r="J50" s="89"/>
      <c r="K50" s="84"/>
    </row>
    <row r="51" spans="1:11" s="23" customFormat="1" hidden="1" outlineLevel="1" x14ac:dyDescent="0.45">
      <c r="A51" s="85"/>
      <c r="B51" s="90"/>
      <c r="C51" s="91"/>
      <c r="D51" s="91"/>
      <c r="E51" s="91"/>
      <c r="F51" s="91"/>
      <c r="G51" s="91"/>
      <c r="H51" s="91"/>
      <c r="I51" s="91"/>
      <c r="J51" s="92"/>
      <c r="K51" s="84"/>
    </row>
    <row r="52" spans="1:11" s="23" customFormat="1" hidden="1" outlineLevel="1" x14ac:dyDescent="0.45">
      <c r="A52" s="85"/>
      <c r="B52" s="90"/>
      <c r="C52" s="91"/>
      <c r="D52" s="91"/>
      <c r="E52" s="91"/>
      <c r="F52" s="91"/>
      <c r="G52" s="91"/>
      <c r="H52" s="91"/>
      <c r="I52" s="91"/>
      <c r="J52" s="92"/>
      <c r="K52" s="84"/>
    </row>
    <row r="53" spans="1:11" s="23" customFormat="1" hidden="1" outlineLevel="1" x14ac:dyDescent="0.45">
      <c r="A53" s="85"/>
      <c r="B53" s="93"/>
      <c r="C53" s="94"/>
      <c r="D53" s="94"/>
      <c r="E53" s="94"/>
      <c r="F53" s="94"/>
      <c r="G53" s="94"/>
      <c r="H53" s="94"/>
      <c r="I53" s="94"/>
      <c r="J53" s="95"/>
      <c r="K53" s="84"/>
    </row>
    <row r="54" spans="1:11" s="23" customFormat="1" hidden="1" outlineLevel="1" x14ac:dyDescent="0.45">
      <c r="A54" s="85"/>
      <c r="B54" s="84"/>
      <c r="C54" s="84"/>
      <c r="D54" s="84"/>
      <c r="E54" s="84"/>
      <c r="F54" s="84"/>
      <c r="G54" s="84"/>
      <c r="H54" s="84"/>
      <c r="I54" s="84"/>
      <c r="J54" s="84"/>
      <c r="K54" s="84"/>
    </row>
    <row r="55" spans="1:11" s="13" customFormat="1" collapsed="1" x14ac:dyDescent="0.45">
      <c r="A55" s="69"/>
      <c r="B55" s="69" t="s">
        <v>93</v>
      </c>
      <c r="C55" s="69"/>
      <c r="D55" s="69" t="s">
        <v>83</v>
      </c>
      <c r="E55" s="69"/>
      <c r="F55" s="69"/>
      <c r="G55" s="69"/>
      <c r="H55" s="69"/>
      <c r="I55" s="69"/>
      <c r="J55" s="69"/>
      <c r="K55" s="69"/>
    </row>
    <row r="56" spans="1:11" s="13" customFormat="1" hidden="1" outlineLevel="1" x14ac:dyDescent="0.45">
      <c r="A56" s="70" t="s">
        <v>95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 s="23" customFormat="1" hidden="1" outlineLevel="1" x14ac:dyDescent="0.45">
      <c r="A57" s="71"/>
      <c r="B57" s="72"/>
      <c r="C57" s="73"/>
      <c r="D57" s="73"/>
      <c r="E57" s="73"/>
      <c r="F57" s="73"/>
      <c r="G57" s="73"/>
      <c r="H57" s="73"/>
      <c r="I57" s="73"/>
      <c r="J57" s="74"/>
      <c r="K57" s="81"/>
    </row>
    <row r="58" spans="1:11" s="23" customFormat="1" hidden="1" outlineLevel="1" x14ac:dyDescent="0.45">
      <c r="A58" s="71"/>
      <c r="B58" s="75"/>
      <c r="C58" s="76"/>
      <c r="D58" s="76"/>
      <c r="E58" s="76"/>
      <c r="F58" s="76"/>
      <c r="G58" s="76"/>
      <c r="H58" s="76"/>
      <c r="I58" s="76"/>
      <c r="J58" s="77"/>
      <c r="K58" s="81"/>
    </row>
    <row r="59" spans="1:11" s="23" customFormat="1" hidden="1" outlineLevel="1" x14ac:dyDescent="0.45">
      <c r="A59" s="71"/>
      <c r="B59" s="75"/>
      <c r="C59" s="76"/>
      <c r="D59" s="76"/>
      <c r="E59" s="76"/>
      <c r="F59" s="76"/>
      <c r="G59" s="76"/>
      <c r="H59" s="76"/>
      <c r="I59" s="76"/>
      <c r="J59" s="77"/>
      <c r="K59" s="81"/>
    </row>
    <row r="60" spans="1:11" s="23" customFormat="1" hidden="1" outlineLevel="1" x14ac:dyDescent="0.45">
      <c r="A60" s="71"/>
      <c r="B60" s="78"/>
      <c r="C60" s="79"/>
      <c r="D60" s="79"/>
      <c r="E60" s="79"/>
      <c r="F60" s="79"/>
      <c r="G60" s="79"/>
      <c r="H60" s="79"/>
      <c r="I60" s="79"/>
      <c r="J60" s="80"/>
      <c r="K60" s="81"/>
    </row>
    <row r="61" spans="1:11" s="23" customFormat="1" hidden="1" outlineLevel="1" x14ac:dyDescent="0.45">
      <c r="A61" s="71"/>
      <c r="B61" s="81"/>
      <c r="C61" s="81"/>
      <c r="D61" s="81"/>
      <c r="E61" s="81"/>
      <c r="F61" s="81"/>
      <c r="G61" s="81"/>
      <c r="H61" s="81"/>
      <c r="I61" s="81"/>
      <c r="J61" s="81"/>
      <c r="K61" s="81"/>
    </row>
    <row r="62" spans="1:11" collapsed="1" x14ac:dyDescent="0.45">
      <c r="A62" s="166" t="s">
        <v>42</v>
      </c>
      <c r="B62" s="54"/>
      <c r="C62" s="54"/>
      <c r="D62" s="54"/>
      <c r="E62" s="54"/>
      <c r="F62" s="54"/>
      <c r="G62" s="54"/>
      <c r="H62" s="54"/>
      <c r="I62" s="54"/>
      <c r="J62" s="54"/>
      <c r="K62" s="55"/>
    </row>
    <row r="63" spans="1:11" x14ac:dyDescent="0.45">
      <c r="A63" s="137"/>
      <c r="B63" s="138" t="s">
        <v>43</v>
      </c>
      <c r="C63" s="137"/>
      <c r="D63" s="138" t="s">
        <v>44</v>
      </c>
      <c r="E63" s="137"/>
      <c r="F63" s="138" t="s">
        <v>45</v>
      </c>
      <c r="G63" s="137"/>
      <c r="H63" s="137"/>
      <c r="I63" s="138" t="s">
        <v>61</v>
      </c>
      <c r="J63" s="58"/>
      <c r="K63" s="59"/>
    </row>
    <row r="64" spans="1:11" x14ac:dyDescent="0.45">
      <c r="A64" s="136"/>
      <c r="B64" s="139"/>
      <c r="C64" s="140"/>
      <c r="D64" s="140"/>
      <c r="E64" s="140"/>
      <c r="F64" s="140"/>
      <c r="G64" s="140"/>
      <c r="H64" s="140"/>
      <c r="I64" s="140"/>
      <c r="J64" s="141"/>
      <c r="K64" s="59"/>
    </row>
    <row r="65" spans="1:11" x14ac:dyDescent="0.45">
      <c r="A65" s="136"/>
      <c r="B65" s="66"/>
      <c r="C65" s="67"/>
      <c r="D65" s="67"/>
      <c r="E65" s="67"/>
      <c r="F65" s="67"/>
      <c r="G65" s="67"/>
      <c r="H65" s="67"/>
      <c r="I65" s="67"/>
      <c r="J65" s="68"/>
      <c r="K65" s="59"/>
    </row>
    <row r="66" spans="1:11" s="39" customFormat="1" ht="14.25" x14ac:dyDescent="0.3">
      <c r="A66" s="143" t="s">
        <v>46</v>
      </c>
      <c r="B66" s="63"/>
      <c r="C66" s="64"/>
      <c r="D66" s="64"/>
      <c r="E66" s="64"/>
      <c r="F66" s="64"/>
      <c r="G66" s="64"/>
      <c r="H66" s="64"/>
      <c r="I66" s="64"/>
      <c r="J66" s="64"/>
      <c r="K66" s="65"/>
    </row>
    <row r="67" spans="1:11" s="39" customFormat="1" ht="14.25" x14ac:dyDescent="0.3">
      <c r="A67" s="143" t="s">
        <v>47</v>
      </c>
      <c r="B67" s="63"/>
      <c r="C67" s="64"/>
      <c r="D67" s="64"/>
      <c r="E67" s="64"/>
      <c r="F67" s="64"/>
      <c r="G67" s="64"/>
      <c r="H67" s="64"/>
      <c r="I67" s="64"/>
      <c r="J67" s="64"/>
      <c r="K67" s="65"/>
    </row>
    <row r="68" spans="1:11" x14ac:dyDescent="0.45">
      <c r="A68" s="53" t="s">
        <v>96</v>
      </c>
      <c r="B68" s="54"/>
      <c r="C68" s="54"/>
      <c r="D68" s="54"/>
      <c r="E68" s="54"/>
      <c r="F68" s="54"/>
      <c r="G68" s="54"/>
      <c r="H68" s="54"/>
      <c r="I68" s="54"/>
      <c r="J68" s="54"/>
      <c r="K68" s="55"/>
    </row>
    <row r="69" spans="1:11" x14ac:dyDescent="0.45">
      <c r="A69" s="56"/>
      <c r="B69" s="57" t="s">
        <v>97</v>
      </c>
      <c r="C69" s="58"/>
      <c r="D69" s="58"/>
      <c r="E69" s="57"/>
      <c r="F69" s="58"/>
      <c r="G69" s="58"/>
      <c r="H69" s="58"/>
      <c r="I69" s="58"/>
      <c r="J69" s="58"/>
      <c r="K69" s="59"/>
    </row>
    <row r="70" spans="1:11" x14ac:dyDescent="0.45">
      <c r="A70" s="56"/>
      <c r="B70" s="60"/>
      <c r="C70" s="61"/>
      <c r="D70" s="61"/>
      <c r="E70" s="61"/>
      <c r="F70" s="61"/>
      <c r="G70" s="61"/>
      <c r="H70" s="61"/>
      <c r="I70" s="61"/>
      <c r="J70" s="62"/>
      <c r="K70" s="59"/>
    </row>
    <row r="71" spans="1:11" s="39" customFormat="1" ht="14.25" x14ac:dyDescent="0.3">
      <c r="A71" s="143" t="s">
        <v>39</v>
      </c>
      <c r="B71" s="63"/>
      <c r="C71" s="64"/>
      <c r="D71" s="64"/>
      <c r="E71" s="64"/>
      <c r="F71" s="64"/>
      <c r="G71" s="64"/>
      <c r="H71" s="64"/>
      <c r="I71" s="64"/>
      <c r="J71" s="64"/>
      <c r="K71" s="65"/>
    </row>
    <row r="72" spans="1:11" x14ac:dyDescent="0.45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7"/>
      <c r="K72" s="48"/>
    </row>
    <row r="73" spans="1:11" x14ac:dyDescent="0.45">
      <c r="A73" s="49"/>
      <c r="B73" s="41" t="s">
        <v>99</v>
      </c>
      <c r="C73" s="45"/>
      <c r="D73" s="45"/>
      <c r="E73" s="45"/>
      <c r="F73" s="45"/>
      <c r="G73" s="41" t="s">
        <v>108</v>
      </c>
      <c r="H73" s="41"/>
      <c r="I73" s="41"/>
      <c r="J73" s="41"/>
      <c r="K73" s="142"/>
    </row>
    <row r="74" spans="1:11" x14ac:dyDescent="0.45">
      <c r="A74" s="49"/>
      <c r="B74" s="42" t="s">
        <v>101</v>
      </c>
      <c r="C74" s="43"/>
      <c r="D74" s="43"/>
      <c r="E74" s="44"/>
      <c r="F74" s="45"/>
      <c r="G74" s="203">
        <f ca="1">NOW()</f>
        <v>45859.680692824077</v>
      </c>
      <c r="H74" s="204"/>
      <c r="I74" s="204"/>
      <c r="J74" s="205"/>
      <c r="K74" s="142"/>
    </row>
    <row r="75" spans="1:11" x14ac:dyDescent="0.45">
      <c r="A75" s="50"/>
      <c r="B75" s="51"/>
      <c r="C75" s="51"/>
      <c r="D75" s="51"/>
      <c r="E75" s="51"/>
      <c r="F75" s="51"/>
      <c r="G75" s="51"/>
      <c r="H75" s="51"/>
      <c r="I75" s="51"/>
      <c r="J75" s="51"/>
      <c r="K75" s="52"/>
    </row>
    <row r="76" spans="1:11" x14ac:dyDescent="0.45">
      <c r="A76" s="1" t="s">
        <v>114</v>
      </c>
    </row>
    <row r="77" spans="1:11" collapsed="1" x14ac:dyDescent="0.45">
      <c r="A77" s="144" t="s">
        <v>109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6"/>
    </row>
    <row r="78" spans="1:11" collapsed="1" x14ac:dyDescent="0.45">
      <c r="A78" s="167" t="s">
        <v>42</v>
      </c>
      <c r="B78" s="149"/>
      <c r="C78" s="149"/>
      <c r="D78" s="149"/>
      <c r="E78" s="149"/>
      <c r="F78" s="149"/>
      <c r="G78" s="149"/>
      <c r="H78" s="149"/>
      <c r="I78" s="149"/>
      <c r="J78" s="149"/>
      <c r="K78" s="150"/>
    </row>
    <row r="79" spans="1:11" x14ac:dyDescent="0.45">
      <c r="A79" s="165"/>
      <c r="B79" s="148" t="s">
        <v>43</v>
      </c>
      <c r="C79" s="147"/>
      <c r="D79" s="148" t="s">
        <v>44</v>
      </c>
      <c r="E79" s="147"/>
      <c r="F79" s="148" t="s">
        <v>45</v>
      </c>
      <c r="G79" s="147"/>
      <c r="H79" s="147"/>
      <c r="I79" s="148" t="s">
        <v>61</v>
      </c>
      <c r="J79" s="149"/>
      <c r="K79" s="150"/>
    </row>
    <row r="80" spans="1:11" x14ac:dyDescent="0.45">
      <c r="A80" s="151"/>
      <c r="B80" s="152"/>
      <c r="C80" s="153"/>
      <c r="D80" s="153"/>
      <c r="E80" s="153"/>
      <c r="F80" s="153"/>
      <c r="G80" s="153"/>
      <c r="H80" s="153"/>
      <c r="I80" s="153"/>
      <c r="J80" s="154"/>
      <c r="K80" s="150"/>
    </row>
    <row r="81" spans="1:11" x14ac:dyDescent="0.45">
      <c r="A81" s="151"/>
      <c r="B81" s="155"/>
      <c r="C81" s="156"/>
      <c r="D81" s="156"/>
      <c r="E81" s="156"/>
      <c r="F81" s="156"/>
      <c r="G81" s="156"/>
      <c r="H81" s="156"/>
      <c r="I81" s="156"/>
      <c r="J81" s="157"/>
      <c r="K81" s="150"/>
    </row>
    <row r="82" spans="1:11" s="39" customFormat="1" ht="14.25" x14ac:dyDescent="0.3">
      <c r="A82" s="158"/>
      <c r="B82" s="159"/>
      <c r="C82" s="160"/>
      <c r="D82" s="160"/>
      <c r="E82" s="160"/>
      <c r="F82" s="160"/>
      <c r="G82" s="160"/>
      <c r="H82" s="160"/>
      <c r="I82" s="160"/>
      <c r="J82" s="160"/>
      <c r="K82" s="161"/>
    </row>
    <row r="83" spans="1:11" s="13" customFormat="1" x14ac:dyDescent="0.45">
      <c r="A83" s="168" t="s">
        <v>48</v>
      </c>
      <c r="B83" s="169"/>
      <c r="C83" s="169"/>
      <c r="D83" s="169"/>
      <c r="E83" s="169"/>
      <c r="F83" s="169"/>
      <c r="G83" s="169" t="s">
        <v>50</v>
      </c>
      <c r="H83" s="169"/>
      <c r="I83" s="169"/>
      <c r="J83" s="169"/>
      <c r="K83" s="170"/>
    </row>
    <row r="84" spans="1:11" x14ac:dyDescent="0.45">
      <c r="A84" s="206">
        <f ca="1">NOW()</f>
        <v>45859.680692824077</v>
      </c>
      <c r="B84" s="207"/>
      <c r="C84" s="207"/>
      <c r="D84" s="208"/>
      <c r="E84" s="149"/>
      <c r="F84" s="149"/>
      <c r="G84" s="206">
        <f ca="1">NOW()</f>
        <v>45859.680692824077</v>
      </c>
      <c r="H84" s="207"/>
      <c r="I84" s="207"/>
      <c r="J84" s="208"/>
      <c r="K84" s="150"/>
    </row>
    <row r="85" spans="1:11" s="13" customFormat="1" x14ac:dyDescent="0.45">
      <c r="A85" s="168" t="s">
        <v>49</v>
      </c>
      <c r="B85" s="169"/>
      <c r="C85" s="169"/>
      <c r="D85" s="169"/>
      <c r="E85" s="169"/>
      <c r="F85" s="169"/>
      <c r="G85" s="169" t="s">
        <v>108</v>
      </c>
      <c r="H85" s="169"/>
      <c r="I85" s="169"/>
      <c r="J85" s="169"/>
      <c r="K85" s="170"/>
    </row>
    <row r="86" spans="1:11" x14ac:dyDescent="0.45">
      <c r="A86" s="162" t="s">
        <v>101</v>
      </c>
      <c r="B86" s="163"/>
      <c r="C86" s="163"/>
      <c r="D86" s="164"/>
      <c r="E86" s="149"/>
      <c r="F86" s="149"/>
      <c r="G86" s="206">
        <f ca="1">NOW()</f>
        <v>45859.680692824077</v>
      </c>
      <c r="H86" s="207"/>
      <c r="I86" s="207"/>
      <c r="J86" s="208"/>
      <c r="K86" s="150"/>
    </row>
    <row r="87" spans="1:11" x14ac:dyDescent="0.45">
      <c r="A87" s="162"/>
      <c r="B87" s="163"/>
      <c r="C87" s="163"/>
      <c r="D87" s="163"/>
      <c r="E87" s="156"/>
      <c r="F87" s="156"/>
      <c r="G87" s="207"/>
      <c r="H87" s="207"/>
      <c r="I87" s="207"/>
      <c r="J87" s="207"/>
      <c r="K87" s="157"/>
    </row>
    <row r="88" spans="1:11" x14ac:dyDescent="0.45">
      <c r="A88" s="1" t="s">
        <v>115</v>
      </c>
    </row>
    <row r="89" spans="1:11" x14ac:dyDescent="0.45">
      <c r="A89" s="171" t="s">
        <v>110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3"/>
    </row>
    <row r="90" spans="1:11" s="13" customFormat="1" x14ac:dyDescent="0.45">
      <c r="A90" s="174" t="s">
        <v>51</v>
      </c>
      <c r="B90" s="175"/>
      <c r="C90" s="175"/>
      <c r="D90" s="175"/>
      <c r="E90" s="175"/>
      <c r="F90" s="175"/>
      <c r="G90" s="175" t="s">
        <v>56</v>
      </c>
      <c r="H90" s="175"/>
      <c r="I90" s="175"/>
      <c r="J90" s="175"/>
      <c r="K90" s="176"/>
    </row>
    <row r="91" spans="1:11" x14ac:dyDescent="0.45">
      <c r="A91" s="215" t="s">
        <v>55</v>
      </c>
      <c r="B91" s="216"/>
      <c r="C91" s="216"/>
      <c r="D91" s="216"/>
      <c r="E91" s="217"/>
      <c r="F91" s="177"/>
      <c r="G91" s="218">
        <f ca="1">NOW()</f>
        <v>45859.680692824077</v>
      </c>
      <c r="H91" s="219"/>
      <c r="I91" s="219"/>
      <c r="J91" s="220"/>
      <c r="K91" s="178"/>
    </row>
    <row r="92" spans="1:11" x14ac:dyDescent="0.45">
      <c r="A92" s="184"/>
      <c r="B92" s="187"/>
      <c r="C92" s="187"/>
      <c r="D92" s="187"/>
      <c r="E92" s="187"/>
      <c r="F92" s="187"/>
      <c r="G92" s="187"/>
      <c r="H92" s="187"/>
      <c r="I92" s="187"/>
      <c r="J92" s="187"/>
      <c r="K92" s="178"/>
    </row>
    <row r="93" spans="1:11" x14ac:dyDescent="0.45">
      <c r="A93" s="177"/>
      <c r="B93" s="189"/>
      <c r="C93" s="190"/>
      <c r="D93" s="190"/>
      <c r="E93" s="190"/>
      <c r="F93" s="190"/>
      <c r="G93" s="190"/>
      <c r="H93" s="190"/>
      <c r="I93" s="190"/>
      <c r="J93" s="191"/>
      <c r="K93" s="178"/>
    </row>
    <row r="94" spans="1:11" x14ac:dyDescent="0.45">
      <c r="A94" s="180"/>
      <c r="B94" s="181"/>
      <c r="C94" s="182"/>
      <c r="D94" s="182"/>
      <c r="E94" s="182"/>
      <c r="F94" s="182"/>
      <c r="G94" s="182"/>
      <c r="H94" s="182"/>
      <c r="I94" s="182"/>
      <c r="J94" s="183"/>
      <c r="K94" s="178"/>
    </row>
    <row r="95" spans="1:11" x14ac:dyDescent="0.45">
      <c r="A95" s="180" t="s">
        <v>96</v>
      </c>
      <c r="B95" s="179"/>
      <c r="C95" s="179"/>
      <c r="D95" s="179"/>
      <c r="E95" s="179"/>
      <c r="F95" s="179"/>
      <c r="G95" s="179"/>
      <c r="H95" s="179"/>
      <c r="I95" s="179"/>
      <c r="J95" s="179"/>
      <c r="K95" s="178"/>
    </row>
    <row r="96" spans="1:11" x14ac:dyDescent="0.45">
      <c r="A96" s="184"/>
      <c r="B96" s="185" t="s">
        <v>97</v>
      </c>
      <c r="C96" s="179"/>
      <c r="D96" s="179"/>
      <c r="E96" s="185"/>
      <c r="F96" s="179"/>
      <c r="G96" s="179"/>
      <c r="H96" s="179"/>
      <c r="I96" s="179"/>
      <c r="J96" s="179"/>
      <c r="K96" s="178"/>
    </row>
    <row r="97" spans="1:11" x14ac:dyDescent="0.45">
      <c r="A97" s="184"/>
      <c r="B97" s="186"/>
      <c r="C97" s="187"/>
      <c r="D97" s="187"/>
      <c r="E97" s="187"/>
      <c r="F97" s="187"/>
      <c r="G97" s="187"/>
      <c r="H97" s="187"/>
      <c r="I97" s="187"/>
      <c r="J97" s="188"/>
      <c r="K97" s="178"/>
    </row>
    <row r="98" spans="1:11" x14ac:dyDescent="0.45">
      <c r="A98" s="174" t="s">
        <v>110</v>
      </c>
      <c r="B98" s="175"/>
      <c r="C98" s="175"/>
      <c r="D98" s="175"/>
      <c r="E98" s="175"/>
      <c r="F98" s="175"/>
      <c r="G98" s="175" t="s">
        <v>108</v>
      </c>
      <c r="H98" s="175"/>
      <c r="I98" s="175"/>
      <c r="J98" s="175"/>
      <c r="K98" s="176"/>
    </row>
    <row r="99" spans="1:11" x14ac:dyDescent="0.45">
      <c r="A99" s="186" t="s">
        <v>101</v>
      </c>
      <c r="B99" s="187"/>
      <c r="C99" s="187"/>
      <c r="D99" s="188"/>
      <c r="E99" s="179"/>
      <c r="F99" s="179"/>
      <c r="G99" s="218">
        <f ca="1">NOW()</f>
        <v>45859.680692824077</v>
      </c>
      <c r="H99" s="219"/>
      <c r="I99" s="219"/>
      <c r="J99" s="220"/>
      <c r="K99" s="178"/>
    </row>
    <row r="100" spans="1:11" x14ac:dyDescent="0.45">
      <c r="A100" s="186"/>
      <c r="B100" s="187"/>
      <c r="C100" s="187"/>
      <c r="D100" s="187"/>
      <c r="E100" s="182"/>
      <c r="F100" s="182"/>
      <c r="G100" s="219"/>
      <c r="H100" s="219"/>
      <c r="I100" s="219"/>
      <c r="J100" s="219"/>
      <c r="K100" s="183"/>
    </row>
    <row r="101" spans="1:11" x14ac:dyDescent="0.45">
      <c r="A101" s="1" t="s">
        <v>116</v>
      </c>
    </row>
    <row r="102" spans="1:11" x14ac:dyDescent="0.45">
      <c r="A102" s="192" t="s">
        <v>65</v>
      </c>
      <c r="B102" s="193"/>
      <c r="C102" s="193"/>
      <c r="D102" s="193"/>
      <c r="E102" s="193"/>
      <c r="F102" s="193"/>
      <c r="G102" s="193"/>
      <c r="H102" s="193"/>
      <c r="I102" s="193"/>
      <c r="J102" s="193"/>
      <c r="K102" s="194"/>
    </row>
    <row r="103" spans="1:11" x14ac:dyDescent="0.45">
      <c r="A103" s="195" t="s">
        <v>111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196"/>
    </row>
    <row r="104" spans="1:11" x14ac:dyDescent="0.45">
      <c r="A104" s="196"/>
      <c r="B104" s="102"/>
      <c r="C104" s="103"/>
      <c r="D104" s="103"/>
      <c r="E104" s="103"/>
      <c r="F104" s="103"/>
      <c r="G104" s="103"/>
      <c r="H104" s="103"/>
      <c r="I104" s="103"/>
      <c r="J104" s="104"/>
      <c r="K104" s="196"/>
    </row>
    <row r="105" spans="1:11" x14ac:dyDescent="0.45">
      <c r="A105" s="195"/>
      <c r="B105" s="108"/>
      <c r="C105" s="109"/>
      <c r="D105" s="109"/>
      <c r="E105" s="109"/>
      <c r="F105" s="109"/>
      <c r="G105" s="109"/>
      <c r="H105" s="109"/>
      <c r="I105" s="109"/>
      <c r="J105" s="110"/>
      <c r="K105" s="196"/>
    </row>
    <row r="106" spans="1:11" x14ac:dyDescent="0.45">
      <c r="A106" s="197" t="s">
        <v>65</v>
      </c>
      <c r="B106" s="96"/>
      <c r="C106" s="96"/>
      <c r="D106" s="96"/>
      <c r="E106" s="96"/>
      <c r="F106" s="96"/>
      <c r="G106" s="96" t="s">
        <v>108</v>
      </c>
      <c r="H106" s="96"/>
      <c r="I106" s="96"/>
      <c r="J106" s="96"/>
      <c r="K106" s="198"/>
    </row>
    <row r="107" spans="1:11" x14ac:dyDescent="0.45">
      <c r="A107" s="199" t="s">
        <v>112</v>
      </c>
      <c r="B107" s="200"/>
      <c r="C107" s="200"/>
      <c r="D107" s="201"/>
      <c r="E107" s="98"/>
      <c r="F107" s="98"/>
      <c r="G107" s="212">
        <f ca="1">NOW()</f>
        <v>45859.680692824077</v>
      </c>
      <c r="H107" s="213"/>
      <c r="I107" s="213"/>
      <c r="J107" s="214"/>
      <c r="K107" s="196"/>
    </row>
    <row r="108" spans="1:11" x14ac:dyDescent="0.45">
      <c r="A108" s="199"/>
      <c r="B108" s="200"/>
      <c r="C108" s="200"/>
      <c r="D108" s="200"/>
      <c r="E108" s="109"/>
      <c r="F108" s="109"/>
      <c r="G108" s="213"/>
      <c r="H108" s="213"/>
      <c r="I108" s="213"/>
      <c r="J108" s="213"/>
      <c r="K108" s="110"/>
    </row>
  </sheetData>
  <mergeCells count="13">
    <mergeCell ref="G87:J87"/>
    <mergeCell ref="G6:J6"/>
    <mergeCell ref="G107:J107"/>
    <mergeCell ref="G108:J108"/>
    <mergeCell ref="A91:E91"/>
    <mergeCell ref="G91:J91"/>
    <mergeCell ref="G99:J99"/>
    <mergeCell ref="G100:J100"/>
    <mergeCell ref="A2:J2"/>
    <mergeCell ref="G74:J74"/>
    <mergeCell ref="A84:D84"/>
    <mergeCell ref="G84:J84"/>
    <mergeCell ref="G86:J86"/>
  </mergeCells>
  <hyperlinks>
    <hyperlink ref="G8" r:id="rId1" xr:uid="{249F4D32-D2BB-4114-BF9C-0E30323ECDA0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4" name="Check Box 2">
              <controlPr defaultSize="0" autoFill="0" autoLine="0" autoPict="0">
                <anchor moveWithCells="1">
                  <from>
                    <xdr:col>1</xdr:col>
                    <xdr:colOff>19050</xdr:colOff>
                    <xdr:row>28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1</xdr:col>
                    <xdr:colOff>19050</xdr:colOff>
                    <xdr:row>29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30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31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32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33</xdr:row>
                    <xdr:rowOff>9525</xdr:rowOff>
                  </from>
                  <to>
                    <xdr:col>1</xdr:col>
                    <xdr:colOff>200025</xdr:colOff>
                    <xdr:row>40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0" name="Check Box 15">
              <controlPr defaultSize="0" autoFill="0" autoLine="0" autoPict="0">
                <anchor moveWithCells="1">
                  <from>
                    <xdr:col>1</xdr:col>
                    <xdr:colOff>19050</xdr:colOff>
                    <xdr:row>44</xdr:row>
                    <xdr:rowOff>9525</xdr:rowOff>
                  </from>
                  <to>
                    <xdr:col>1</xdr:col>
                    <xdr:colOff>200025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1" name="Check Box 16">
              <controlPr defaultSize="0" autoFill="0" autoLine="0" autoPict="0">
                <anchor moveWithCells="1">
                  <from>
                    <xdr:col>1</xdr:col>
                    <xdr:colOff>19050</xdr:colOff>
                    <xdr:row>45</xdr:row>
                    <xdr:rowOff>9525</xdr:rowOff>
                  </from>
                  <to>
                    <xdr:col>1</xdr:col>
                    <xdr:colOff>200025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2" name="Check Box 17">
              <controlPr defaultSize="0" autoFill="0" autoLine="0" autoPict="0">
                <anchor moveWithCells="1">
                  <from>
                    <xdr:col>1</xdr:col>
                    <xdr:colOff>19050</xdr:colOff>
                    <xdr:row>46</xdr:row>
                    <xdr:rowOff>9525</xdr:rowOff>
                  </from>
                  <to>
                    <xdr:col>1</xdr:col>
                    <xdr:colOff>200025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13" name="Check Box 20">
              <controlPr defaultSize="0" autoFill="0" autoLine="0" autoPict="0">
                <anchor moveWithCells="1">
                  <from>
                    <xdr:col>1</xdr:col>
                    <xdr:colOff>19050</xdr:colOff>
                    <xdr:row>47</xdr:row>
                    <xdr:rowOff>9525</xdr:rowOff>
                  </from>
                  <to>
                    <xdr:col>1</xdr:col>
                    <xdr:colOff>200025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14" name="Check Box 27">
              <controlPr defaultSize="0" autoFill="0" autoLine="0" autoPict="0">
                <anchor moveWithCells="1">
                  <from>
                    <xdr:col>1</xdr:col>
                    <xdr:colOff>19050</xdr:colOff>
                    <xdr:row>43</xdr:row>
                    <xdr:rowOff>9525</xdr:rowOff>
                  </from>
                  <to>
                    <xdr:col>1</xdr:col>
                    <xdr:colOff>200025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5" name="Check Box 28">
              <controlPr defaultSize="0" autoFill="0" autoLine="0" autoPict="0">
                <anchor moveWithCells="1">
                  <from>
                    <xdr:col>0</xdr:col>
                    <xdr:colOff>19050</xdr:colOff>
                    <xdr:row>62</xdr:row>
                    <xdr:rowOff>9525</xdr:rowOff>
                  </from>
                  <to>
                    <xdr:col>0</xdr:col>
                    <xdr:colOff>200025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16" name="Check Box 29">
              <controlPr defaultSize="0" autoFill="0" autoLine="0" autoPict="0">
                <anchor moveWithCells="1">
                  <from>
                    <xdr:col>4</xdr:col>
                    <xdr:colOff>19050</xdr:colOff>
                    <xdr:row>62</xdr:row>
                    <xdr:rowOff>9525</xdr:rowOff>
                  </from>
                  <to>
                    <xdr:col>4</xdr:col>
                    <xdr:colOff>200025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17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62</xdr:row>
                    <xdr:rowOff>9525</xdr:rowOff>
                  </from>
                  <to>
                    <xdr:col>4</xdr:col>
                    <xdr:colOff>200025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8" name="Check Box 32">
              <controlPr defaultSize="0" autoFill="0" autoLine="0" autoPict="0">
                <anchor moveWithCells="1">
                  <from>
                    <xdr:col>2</xdr:col>
                    <xdr:colOff>19050</xdr:colOff>
                    <xdr:row>62</xdr:row>
                    <xdr:rowOff>9525</xdr:rowOff>
                  </from>
                  <to>
                    <xdr:col>2</xdr:col>
                    <xdr:colOff>200025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9" name="Check Box 34">
              <controlPr defaultSize="0" autoFill="0" autoLine="0" autoPict="0">
                <anchor moveWithCells="1">
                  <from>
                    <xdr:col>7</xdr:col>
                    <xdr:colOff>19050</xdr:colOff>
                    <xdr:row>62</xdr:row>
                    <xdr:rowOff>9525</xdr:rowOff>
                  </from>
                  <to>
                    <xdr:col>7</xdr:col>
                    <xdr:colOff>200025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20" name="Check Box 35">
              <controlPr defaultSize="0" autoFill="0" autoLine="0" autoPict="0">
                <anchor moveWithCells="1">
                  <from>
                    <xdr:col>0</xdr:col>
                    <xdr:colOff>19050</xdr:colOff>
                    <xdr:row>78</xdr:row>
                    <xdr:rowOff>9525</xdr:rowOff>
                  </from>
                  <to>
                    <xdr:col>0</xdr:col>
                    <xdr:colOff>200025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21" name="Check Box 36">
              <controlPr defaultSize="0" autoFill="0" autoLine="0" autoPict="0">
                <anchor moveWithCells="1">
                  <from>
                    <xdr:col>4</xdr:col>
                    <xdr:colOff>19050</xdr:colOff>
                    <xdr:row>78</xdr:row>
                    <xdr:rowOff>9525</xdr:rowOff>
                  </from>
                  <to>
                    <xdr:col>4</xdr:col>
                    <xdr:colOff>200025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22" name="Check Box 37">
              <controlPr defaultSize="0" autoFill="0" autoLine="0" autoPict="0">
                <anchor moveWithCells="1">
                  <from>
                    <xdr:col>4</xdr:col>
                    <xdr:colOff>19050</xdr:colOff>
                    <xdr:row>78</xdr:row>
                    <xdr:rowOff>9525</xdr:rowOff>
                  </from>
                  <to>
                    <xdr:col>4</xdr:col>
                    <xdr:colOff>200025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23" name="Check Box 38">
              <controlPr defaultSize="0" autoFill="0" autoLine="0" autoPict="0">
                <anchor moveWithCells="1">
                  <from>
                    <xdr:col>2</xdr:col>
                    <xdr:colOff>19050</xdr:colOff>
                    <xdr:row>78</xdr:row>
                    <xdr:rowOff>9525</xdr:rowOff>
                  </from>
                  <to>
                    <xdr:col>2</xdr:col>
                    <xdr:colOff>200025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24" name="Check Box 39">
              <controlPr defaultSize="0" autoFill="0" autoLine="0" autoPict="0">
                <anchor moveWithCells="1">
                  <from>
                    <xdr:col>7</xdr:col>
                    <xdr:colOff>19050</xdr:colOff>
                    <xdr:row>78</xdr:row>
                    <xdr:rowOff>9525</xdr:rowOff>
                  </from>
                  <to>
                    <xdr:col>7</xdr:col>
                    <xdr:colOff>200025</xdr:colOff>
                    <xdr:row>78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2F2F4C-0070-4089-A768-D71B2EAABCCC}">
          <x14:formula1>
            <xm:f>'.'!$B$2:$B$4</xm:f>
          </x14:formula1>
          <xm:sqref>D19</xm:sqref>
        </x14:dataValidation>
        <x14:dataValidation type="list" allowBlank="1" showInputMessage="1" showErrorMessage="1" xr:uid="{4A35D97C-147E-491E-BBFD-C4D4A63EB6E1}">
          <x14:formula1>
            <xm:f>'.'!$A$2:$A$4</xm:f>
          </x14:formula1>
          <xm:sqref>A105 A94 C95:C97 A91:A92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92C2-DFC1-49C7-B9CB-596BB12E48D7}">
  <dimension ref="A1:AZ41"/>
  <sheetViews>
    <sheetView showGridLines="0" view="pageLayout" zoomScaleNormal="100" workbookViewId="0">
      <selection activeCell="AQ36" sqref="AQ36"/>
    </sheetView>
  </sheetViews>
  <sheetFormatPr defaultRowHeight="21" x14ac:dyDescent="0.45"/>
  <cols>
    <col min="1" max="52" width="1.85546875" style="1" customWidth="1"/>
    <col min="53" max="16384" width="9.140625" style="1"/>
  </cols>
  <sheetData>
    <row r="1" spans="1:52" s="2" customFormat="1" ht="23.25" x14ac:dyDescent="0.5">
      <c r="K1" s="2" t="s">
        <v>16</v>
      </c>
    </row>
    <row r="2" spans="1:52" s="2" customFormat="1" ht="23.25" x14ac:dyDescent="0.5">
      <c r="A2" s="2" t="s">
        <v>90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AN2" s="3" t="s">
        <v>17</v>
      </c>
      <c r="AO2" s="3"/>
      <c r="AP2" s="3"/>
      <c r="AQ2" s="3"/>
      <c r="AR2" s="3"/>
      <c r="AS2" s="11"/>
      <c r="AT2" s="11" t="str">
        <f ca="1">"LC"&amp;TEXT(TODAY(),"YYMMDD")&amp;"001"</f>
        <v>LC250721001</v>
      </c>
      <c r="AU2" s="11"/>
      <c r="AV2" s="11"/>
      <c r="AW2" s="11"/>
      <c r="AX2" s="11"/>
      <c r="AY2" s="11"/>
      <c r="AZ2" s="13"/>
    </row>
    <row r="3" spans="1:52" x14ac:dyDescent="0.45">
      <c r="A3" s="3" t="s">
        <v>18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x14ac:dyDescent="0.45">
      <c r="A4" s="3" t="s">
        <v>19</v>
      </c>
      <c r="F4" s="12" t="s">
        <v>20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4"/>
      <c r="AH4" s="14"/>
      <c r="AI4" s="3" t="s">
        <v>21</v>
      </c>
      <c r="AN4" s="222">
        <f ca="1">NOW()</f>
        <v>45859.680692824077</v>
      </c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14"/>
    </row>
    <row r="5" spans="1:52" s="16" customFormat="1" ht="7.5" thickBo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</row>
    <row r="6" spans="1:52" x14ac:dyDescent="0.45">
      <c r="A6" s="3" t="s">
        <v>22</v>
      </c>
    </row>
    <row r="7" spans="1:52" s="3" customFormat="1" x14ac:dyDescent="0.45">
      <c r="B7" s="3" t="s">
        <v>23</v>
      </c>
      <c r="AZ7" s="1"/>
    </row>
    <row r="8" spans="1:52" x14ac:dyDescent="0.45">
      <c r="A8" s="1" t="s">
        <v>24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2" x14ac:dyDescent="0.45">
      <c r="A9" s="1" t="s">
        <v>25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2" x14ac:dyDescent="0.45">
      <c r="A10" s="1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2" x14ac:dyDescent="0.4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2" x14ac:dyDescent="0.45">
      <c r="A12" s="1" t="s">
        <v>27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1" t="s">
        <v>28</v>
      </c>
    </row>
    <row r="13" spans="1:52" x14ac:dyDescent="0.45">
      <c r="A13" s="1" t="s">
        <v>29</v>
      </c>
      <c r="K13" s="5"/>
      <c r="L13" s="7" t="s">
        <v>30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7" t="s">
        <v>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2" x14ac:dyDescent="0.45">
      <c r="A14" s="7" t="s">
        <v>58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7" t="s">
        <v>59</v>
      </c>
      <c r="X14" s="5"/>
      <c r="Y14" s="5"/>
      <c r="Z14" s="5"/>
      <c r="AA14" s="5"/>
      <c r="AB14" s="7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2" x14ac:dyDescent="0.45">
      <c r="A15" s="1" t="s">
        <v>32</v>
      </c>
      <c r="J15" s="1" t="s">
        <v>33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 t="s">
        <v>34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52" x14ac:dyDescent="0.45">
      <c r="A16" s="1" t="s">
        <v>35</v>
      </c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" t="s">
        <v>57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2" x14ac:dyDescent="0.45">
      <c r="A17" s="1" t="s">
        <v>38</v>
      </c>
    </row>
    <row r="18" spans="1:52" x14ac:dyDescent="0.4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2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2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2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2" x14ac:dyDescent="0.45">
      <c r="A22" s="1" t="s">
        <v>40</v>
      </c>
      <c r="N22" s="8"/>
      <c r="O22" s="9" t="s">
        <v>41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2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0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2" x14ac:dyDescent="0.45">
      <c r="A24" s="4" t="s">
        <v>39</v>
      </c>
    </row>
    <row r="25" spans="1:52" x14ac:dyDescent="0.45">
      <c r="A25" s="1" t="s">
        <v>42</v>
      </c>
      <c r="L25" s="5"/>
      <c r="M25" s="5" t="s">
        <v>45</v>
      </c>
      <c r="N25" s="5"/>
      <c r="O25" s="5"/>
      <c r="P25" s="5"/>
      <c r="Q25" s="5"/>
      <c r="R25" s="5"/>
      <c r="S25" s="5"/>
      <c r="T25" s="5"/>
      <c r="U25" s="5"/>
      <c r="W25" s="1" t="s">
        <v>57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2" x14ac:dyDescent="0.45">
      <c r="A26" s="4" t="s">
        <v>46</v>
      </c>
    </row>
    <row r="27" spans="1:52" x14ac:dyDescent="0.45">
      <c r="A27" s="4" t="s">
        <v>47</v>
      </c>
    </row>
    <row r="28" spans="1:52" s="16" customFormat="1" ht="7.5" thickBo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</row>
    <row r="29" spans="1:52" x14ac:dyDescent="0.45">
      <c r="A29" s="3" t="s">
        <v>52</v>
      </c>
    </row>
    <row r="30" spans="1:52" x14ac:dyDescent="0.45">
      <c r="A30" s="1" t="s">
        <v>42</v>
      </c>
      <c r="L30" s="5"/>
      <c r="M30" s="5" t="s">
        <v>44</v>
      </c>
      <c r="N30" s="5"/>
      <c r="O30" s="5"/>
      <c r="P30" s="5"/>
      <c r="Q30" s="5"/>
      <c r="R30" s="5"/>
      <c r="S30" s="5"/>
      <c r="T30" s="5"/>
      <c r="U30" s="5"/>
      <c r="W30" s="1" t="s">
        <v>57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2" x14ac:dyDescent="0.45">
      <c r="A31" s="1" t="s">
        <v>48</v>
      </c>
      <c r="K31" s="221">
        <f ca="1">TODAY()</f>
        <v>45859</v>
      </c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6"/>
      <c r="AA31" s="6"/>
      <c r="AB31" s="6"/>
      <c r="AC31" s="1" t="s">
        <v>50</v>
      </c>
      <c r="AK31" s="221">
        <f ca="1">TODAY()</f>
        <v>45859</v>
      </c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</row>
    <row r="32" spans="1:52" x14ac:dyDescent="0.45">
      <c r="A32" s="1" t="s">
        <v>49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2" x14ac:dyDescent="0.45">
      <c r="A33" s="1" t="s">
        <v>51</v>
      </c>
      <c r="J33" s="5" t="s">
        <v>55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  <c r="AC33" s="1" t="s">
        <v>56</v>
      </c>
      <c r="AK33" s="221">
        <f ca="1">TODAY()</f>
        <v>45859</v>
      </c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</row>
    <row r="34" spans="1:52" x14ac:dyDescent="0.45">
      <c r="A34" s="1" t="s">
        <v>57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2" s="18" customFormat="1" x14ac:dyDescent="0.45">
      <c r="A35" s="23" t="s">
        <v>82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9" t="s">
        <v>41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</row>
    <row r="36" spans="1:52" s="18" customForma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2" s="16" customFormat="1" ht="7.5" thickBo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3" t="s">
        <v>63</v>
      </c>
    </row>
    <row r="39" spans="1:52" x14ac:dyDescent="0.45">
      <c r="A39" s="1" t="s">
        <v>65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D39" s="1" t="s">
        <v>66</v>
      </c>
      <c r="AJ39" s="221">
        <f ca="1">TODAY()</f>
        <v>45859</v>
      </c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</row>
    <row r="40" spans="1:52" x14ac:dyDescent="0.45">
      <c r="A40" s="1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2" s="16" customFormat="1" ht="7.5" thickBo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</sheetData>
  <dataConsolidate/>
  <mergeCells count="5">
    <mergeCell ref="AJ39:AY39"/>
    <mergeCell ref="AK31:AY31"/>
    <mergeCell ref="K31:Y31"/>
    <mergeCell ref="AK33:AY33"/>
    <mergeCell ref="AN4:AX4"/>
  </mergeCells>
  <pageMargins left="0.3" right="0.3" top="0.3" bottom="0.3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9617596-B196-4E4A-BD0A-1625A9049E82}">
          <x14:formula1>
            <xm:f>'.'!$A$2:$A$4</xm:f>
          </x14:formula1>
          <xm:sqref>J33</xm:sqref>
        </x14:dataValidation>
        <x14:dataValidation type="list" allowBlank="1" showInputMessage="1" showErrorMessage="1" xr:uid="{B8B22FD9-A9E7-4B19-9356-8779C4E6FE8F}">
          <x14:formula1>
            <xm:f>'.'!$B$2:$B$4</xm:f>
          </x14:formula1>
          <xm:sqref>I16</xm:sqref>
        </x14:dataValidation>
        <x14:dataValidation type="list" allowBlank="1" showInputMessage="1" showErrorMessage="1" xr:uid="{11596915-30F0-4699-8BE2-EA6135B38A7B}">
          <x14:formula1>
            <xm:f>'.'!$C$2:$C$5</xm:f>
          </x14:formula1>
          <xm:sqref>M25 M30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9022-DE2C-466B-AE3F-732CF4963062}">
  <dimension ref="A1:AZ37"/>
  <sheetViews>
    <sheetView showGridLines="0" view="pageLayout" zoomScaleNormal="100" workbookViewId="0">
      <selection activeCell="J29" sqref="J29"/>
    </sheetView>
  </sheetViews>
  <sheetFormatPr defaultRowHeight="21" x14ac:dyDescent="0.45"/>
  <cols>
    <col min="1" max="52" width="1.85546875" style="18" customWidth="1"/>
    <col min="53" max="16384" width="9.140625" style="18"/>
  </cols>
  <sheetData>
    <row r="1" spans="1:52" s="19" customFormat="1" ht="23.25" x14ac:dyDescent="0.5">
      <c r="K1" s="19" t="s">
        <v>16</v>
      </c>
    </row>
    <row r="2" spans="1:52" s="19" customFormat="1" ht="23.25" x14ac:dyDescent="0.5">
      <c r="A2" s="2" t="s">
        <v>90</v>
      </c>
      <c r="B2" s="2"/>
      <c r="C2" s="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AN2" s="20" t="s">
        <v>17</v>
      </c>
      <c r="AO2" s="20"/>
      <c r="AP2" s="20"/>
      <c r="AQ2" s="20"/>
      <c r="AR2" s="20"/>
      <c r="AS2" s="21"/>
      <c r="AT2" s="21" t="str">
        <f ca="1">"LC"&amp;TEXT(TODAY(),"YYMMDD")&amp;"001"</f>
        <v>LC250721001</v>
      </c>
      <c r="AU2" s="21"/>
      <c r="AV2" s="21"/>
      <c r="AW2" s="21"/>
      <c r="AX2" s="21"/>
      <c r="AY2" s="21"/>
      <c r="AZ2" s="22"/>
    </row>
    <row r="3" spans="1:52" x14ac:dyDescent="0.45">
      <c r="A3" s="20" t="s">
        <v>18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 x14ac:dyDescent="0.45">
      <c r="A4" s="20" t="s">
        <v>19</v>
      </c>
      <c r="F4" s="12" t="s">
        <v>20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4"/>
      <c r="AH4" s="14"/>
      <c r="AI4" s="20" t="s">
        <v>21</v>
      </c>
      <c r="AN4" s="222">
        <f ca="1">NOW()</f>
        <v>45859.680692824077</v>
      </c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14"/>
    </row>
    <row r="5" spans="1:52" s="25" customFormat="1" ht="7.5" thickBo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x14ac:dyDescent="0.45">
      <c r="A6" s="20" t="s">
        <v>22</v>
      </c>
    </row>
    <row r="7" spans="1:52" s="20" customFormat="1" x14ac:dyDescent="0.45">
      <c r="B7" s="20" t="s">
        <v>67</v>
      </c>
      <c r="AZ7" s="18"/>
    </row>
    <row r="8" spans="1:52" s="23" customFormat="1" x14ac:dyDescent="0.45">
      <c r="D8" s="23" t="s">
        <v>68</v>
      </c>
    </row>
    <row r="9" spans="1:52" s="23" customFormat="1" x14ac:dyDescent="0.45">
      <c r="D9" s="23" t="s">
        <v>69</v>
      </c>
    </row>
    <row r="10" spans="1:52" s="23" customFormat="1" x14ac:dyDescent="0.45">
      <c r="D10" s="23" t="s">
        <v>70</v>
      </c>
    </row>
    <row r="11" spans="1:52" s="23" customFormat="1" x14ac:dyDescent="0.45">
      <c r="D11" s="23" t="s">
        <v>75</v>
      </c>
    </row>
    <row r="12" spans="1:52" s="23" customFormat="1" x14ac:dyDescent="0.45">
      <c r="D12" s="23" t="s">
        <v>73</v>
      </c>
    </row>
    <row r="13" spans="1:52" s="23" customFormat="1" x14ac:dyDescent="0.45">
      <c r="D13" s="23" t="s">
        <v>71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2" s="23" customFormat="1" x14ac:dyDescent="0.45">
      <c r="A14" s="26" t="s">
        <v>72</v>
      </c>
      <c r="W14" s="26"/>
      <c r="AB14" s="26"/>
      <c r="AF14" s="27"/>
      <c r="AG14" s="28" t="s">
        <v>41</v>
      </c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</row>
    <row r="15" spans="1:52" s="23" customFormat="1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2" x14ac:dyDescent="0.45">
      <c r="A16" s="18" t="s">
        <v>74</v>
      </c>
    </row>
    <row r="17" spans="1:52" x14ac:dyDescent="0.4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2" x14ac:dyDescent="0.4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</row>
    <row r="19" spans="1:52" x14ac:dyDescent="0.4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</row>
    <row r="20" spans="1:52" x14ac:dyDescent="0.4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</row>
    <row r="21" spans="1:52" x14ac:dyDescent="0.45">
      <c r="A21" s="18" t="s">
        <v>42</v>
      </c>
      <c r="L21" s="12"/>
      <c r="M21" s="12" t="s">
        <v>45</v>
      </c>
      <c r="N21" s="12"/>
      <c r="O21" s="12"/>
      <c r="P21" s="12"/>
      <c r="Q21" s="12"/>
      <c r="R21" s="12"/>
      <c r="S21" s="12"/>
      <c r="T21" s="12"/>
      <c r="U21" s="12"/>
      <c r="W21" s="18" t="s">
        <v>57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2" x14ac:dyDescent="0.45">
      <c r="A22" s="17" t="s">
        <v>46</v>
      </c>
    </row>
    <row r="23" spans="1:52" x14ac:dyDescent="0.45">
      <c r="A23" s="17" t="s">
        <v>47</v>
      </c>
    </row>
    <row r="24" spans="1:52" s="25" customFormat="1" ht="7.5" thickBot="1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spans="1:52" x14ac:dyDescent="0.45">
      <c r="A25" s="20" t="s">
        <v>52</v>
      </c>
    </row>
    <row r="26" spans="1:52" x14ac:dyDescent="0.45">
      <c r="A26" s="18" t="s">
        <v>42</v>
      </c>
      <c r="L26" s="12"/>
      <c r="M26" s="12" t="s">
        <v>44</v>
      </c>
      <c r="N26" s="12"/>
      <c r="O26" s="12"/>
      <c r="P26" s="12"/>
      <c r="Q26" s="12"/>
      <c r="R26" s="12"/>
      <c r="S26" s="12"/>
      <c r="T26" s="12"/>
      <c r="U26" s="12"/>
      <c r="W26" s="18" t="s">
        <v>57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2" x14ac:dyDescent="0.45">
      <c r="A27" s="18" t="s">
        <v>48</v>
      </c>
      <c r="K27" s="221">
        <f ca="1">TODAY()</f>
        <v>45859</v>
      </c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3"/>
      <c r="AA27" s="23"/>
      <c r="AB27" s="23"/>
      <c r="AC27" s="18" t="s">
        <v>50</v>
      </c>
      <c r="AK27" s="221">
        <f ca="1">TODAY()</f>
        <v>45859</v>
      </c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</row>
    <row r="28" spans="1:52" x14ac:dyDescent="0.45">
      <c r="A28" s="18" t="s">
        <v>49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2" x14ac:dyDescent="0.45">
      <c r="A29" s="18" t="s">
        <v>51</v>
      </c>
      <c r="J29" s="12" t="s">
        <v>55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23"/>
      <c r="AC29" s="18" t="s">
        <v>56</v>
      </c>
      <c r="AK29" s="221">
        <f ca="1">TODAY()</f>
        <v>45859</v>
      </c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</row>
    <row r="30" spans="1:52" x14ac:dyDescent="0.45">
      <c r="A30" s="18" t="s">
        <v>57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2" x14ac:dyDescent="0.45">
      <c r="A31" s="23" t="s">
        <v>82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9" t="s">
        <v>41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</row>
    <row r="32" spans="1:52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</row>
    <row r="33" spans="1:52" s="25" customFormat="1" ht="7.5" thickBot="1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x14ac:dyDescent="0.45">
      <c r="A34" s="20" t="s">
        <v>63</v>
      </c>
    </row>
    <row r="35" spans="1:52" x14ac:dyDescent="0.45">
      <c r="A35" s="18" t="s">
        <v>65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D35" s="18" t="s">
        <v>66</v>
      </c>
      <c r="AJ35" s="221">
        <f ca="1">TODAY()</f>
        <v>45859</v>
      </c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</row>
    <row r="36" spans="1:52" x14ac:dyDescent="0.45">
      <c r="A36" s="18" t="s">
        <v>64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</row>
    <row r="37" spans="1:52" s="25" customFormat="1" ht="7.5" thickBo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</sheetData>
  <dataConsolidate/>
  <mergeCells count="5">
    <mergeCell ref="AN4:AX4"/>
    <mergeCell ref="K27:Y27"/>
    <mergeCell ref="AK27:AY27"/>
    <mergeCell ref="AK29:AY29"/>
    <mergeCell ref="AJ35:AY35"/>
  </mergeCells>
  <pageMargins left="0.3" right="0.3" top="0.3" bottom="0.3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9525</xdr:rowOff>
                  </from>
                  <to>
                    <xdr:col>2</xdr:col>
                    <xdr:colOff>66675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9525</xdr:rowOff>
                  </from>
                  <to>
                    <xdr:col>2</xdr:col>
                    <xdr:colOff>66675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9525</xdr:rowOff>
                  </from>
                  <to>
                    <xdr:col>2</xdr:col>
                    <xdr:colOff>66675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9525</xdr:rowOff>
                  </from>
                  <to>
                    <xdr:col>2</xdr:col>
                    <xdr:colOff>66675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9525</xdr:rowOff>
                  </from>
                  <to>
                    <xdr:col>2</xdr:col>
                    <xdr:colOff>66675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9525</xdr:rowOff>
                  </from>
                  <to>
                    <xdr:col>2</xdr:col>
                    <xdr:colOff>66675</xdr:colOff>
                    <xdr:row>12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383D34-A930-4744-8084-A86B71A0D362}">
          <x14:formula1>
            <xm:f>'.'!$C$2:$C$5</xm:f>
          </x14:formula1>
          <xm:sqref>M21 M26</xm:sqref>
        </x14:dataValidation>
        <x14:dataValidation type="list" allowBlank="1" showInputMessage="1" showErrorMessage="1" xr:uid="{8BE6A59F-9498-4D8B-99B2-3C8656A859E5}">
          <x14:formula1>
            <xm:f>'.'!$A$2:$A$4</xm:f>
          </x14:formula1>
          <xm:sqref>J29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7EBA-1DA8-4CD0-947B-4520D46ED7CE}">
  <dimension ref="A1:AZ35"/>
  <sheetViews>
    <sheetView showGridLines="0" view="pageLayout" zoomScaleNormal="100" workbookViewId="0">
      <selection activeCell="T15" sqref="T15"/>
    </sheetView>
  </sheetViews>
  <sheetFormatPr defaultRowHeight="21" x14ac:dyDescent="0.45"/>
  <cols>
    <col min="1" max="52" width="1.85546875" style="18" customWidth="1"/>
    <col min="53" max="16384" width="9.140625" style="18"/>
  </cols>
  <sheetData>
    <row r="1" spans="1:52" s="19" customFormat="1" ht="23.25" x14ac:dyDescent="0.5">
      <c r="K1" s="19" t="s">
        <v>16</v>
      </c>
    </row>
    <row r="2" spans="1:52" s="19" customFormat="1" ht="23.25" x14ac:dyDescent="0.5">
      <c r="A2" s="2" t="s">
        <v>90</v>
      </c>
      <c r="B2" s="2"/>
      <c r="C2" s="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AN2" s="20" t="s">
        <v>17</v>
      </c>
      <c r="AO2" s="20"/>
      <c r="AP2" s="20"/>
      <c r="AQ2" s="20"/>
      <c r="AR2" s="20"/>
      <c r="AS2" s="21"/>
      <c r="AT2" s="21" t="str">
        <f ca="1">"LC"&amp;TEXT(TODAY(),"YYMMDD")&amp;"001"</f>
        <v>LC250721001</v>
      </c>
      <c r="AU2" s="21"/>
      <c r="AV2" s="21"/>
      <c r="AW2" s="21"/>
      <c r="AX2" s="21"/>
      <c r="AY2" s="21"/>
      <c r="AZ2" s="22"/>
    </row>
    <row r="3" spans="1:52" x14ac:dyDescent="0.45">
      <c r="A3" s="20" t="s">
        <v>18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 x14ac:dyDescent="0.45">
      <c r="A4" s="20" t="s">
        <v>19</v>
      </c>
      <c r="F4" s="12" t="s">
        <v>20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4"/>
      <c r="AH4" s="14"/>
      <c r="AI4" s="20" t="s">
        <v>21</v>
      </c>
      <c r="AN4" s="222">
        <f ca="1">NOW()</f>
        <v>45859.680692824077</v>
      </c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14"/>
    </row>
    <row r="5" spans="1:52" s="25" customFormat="1" ht="7.5" thickBo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x14ac:dyDescent="0.45">
      <c r="A6" s="20" t="s">
        <v>22</v>
      </c>
    </row>
    <row r="7" spans="1:52" s="20" customFormat="1" x14ac:dyDescent="0.45">
      <c r="B7" s="20" t="s">
        <v>76</v>
      </c>
      <c r="AZ7" s="18"/>
    </row>
    <row r="8" spans="1:52" s="23" customFormat="1" x14ac:dyDescent="0.45">
      <c r="D8" s="23" t="s">
        <v>77</v>
      </c>
    </row>
    <row r="9" spans="1:52" s="23" customFormat="1" x14ac:dyDescent="0.45">
      <c r="D9" s="23" t="s">
        <v>78</v>
      </c>
    </row>
    <row r="10" spans="1:52" s="23" customFormat="1" x14ac:dyDescent="0.45">
      <c r="D10" s="23" t="s">
        <v>79</v>
      </c>
    </row>
    <row r="11" spans="1:52" s="23" customFormat="1" x14ac:dyDescent="0.45">
      <c r="D11" s="23" t="s">
        <v>80</v>
      </c>
    </row>
    <row r="12" spans="1:52" s="23" customFormat="1" x14ac:dyDescent="0.45">
      <c r="D12" s="23" t="s">
        <v>71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2" s="23" customFormat="1" x14ac:dyDescent="0.45">
      <c r="A13" s="26" t="s">
        <v>81</v>
      </c>
      <c r="W13" s="26"/>
      <c r="AB13" s="26"/>
      <c r="AG13" s="28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</row>
    <row r="14" spans="1:52" s="23" customFormat="1" x14ac:dyDescent="0.4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2" x14ac:dyDescent="0.4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2" x14ac:dyDescent="0.4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</row>
    <row r="17" spans="1:52" x14ac:dyDescent="0.4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</row>
    <row r="18" spans="1:52" x14ac:dyDescent="0.4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</row>
    <row r="19" spans="1:52" x14ac:dyDescent="0.45">
      <c r="A19" s="18" t="s">
        <v>42</v>
      </c>
      <c r="L19" s="12"/>
      <c r="M19" s="12" t="s">
        <v>45</v>
      </c>
      <c r="N19" s="12"/>
      <c r="O19" s="12"/>
      <c r="P19" s="12"/>
      <c r="Q19" s="12"/>
      <c r="R19" s="12"/>
      <c r="S19" s="12"/>
      <c r="T19" s="12"/>
      <c r="U19" s="12"/>
      <c r="W19" s="18" t="s">
        <v>57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2" x14ac:dyDescent="0.45">
      <c r="A20" s="17" t="s">
        <v>46</v>
      </c>
    </row>
    <row r="21" spans="1:52" x14ac:dyDescent="0.45">
      <c r="A21" s="17" t="s">
        <v>47</v>
      </c>
    </row>
    <row r="22" spans="1:52" s="25" customFormat="1" ht="7.5" thickBo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 x14ac:dyDescent="0.45">
      <c r="A23" s="20" t="s">
        <v>52</v>
      </c>
    </row>
    <row r="24" spans="1:52" x14ac:dyDescent="0.45">
      <c r="A24" s="18" t="s">
        <v>42</v>
      </c>
      <c r="L24" s="12"/>
      <c r="M24" s="12" t="s">
        <v>44</v>
      </c>
      <c r="N24" s="12"/>
      <c r="O24" s="12"/>
      <c r="P24" s="12"/>
      <c r="Q24" s="12"/>
      <c r="R24" s="12"/>
      <c r="S24" s="12"/>
      <c r="T24" s="12"/>
      <c r="U24" s="12"/>
      <c r="W24" s="18" t="s">
        <v>57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2" x14ac:dyDescent="0.45">
      <c r="A25" s="18" t="s">
        <v>48</v>
      </c>
      <c r="K25" s="221">
        <f ca="1">TODAY()</f>
        <v>45859</v>
      </c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3"/>
      <c r="AA25" s="23"/>
      <c r="AB25" s="23"/>
      <c r="AC25" s="18" t="s">
        <v>50</v>
      </c>
      <c r="AK25" s="221">
        <f ca="1">TODAY()</f>
        <v>45859</v>
      </c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</row>
    <row r="26" spans="1:52" x14ac:dyDescent="0.45">
      <c r="A26" s="18" t="s">
        <v>49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2" x14ac:dyDescent="0.45">
      <c r="A27" s="18" t="s">
        <v>51</v>
      </c>
      <c r="J27" s="12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23"/>
      <c r="AC27" s="18" t="s">
        <v>56</v>
      </c>
      <c r="AK27" s="221">
        <f ca="1">TODAY()</f>
        <v>45859</v>
      </c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</row>
    <row r="28" spans="1:52" x14ac:dyDescent="0.45">
      <c r="A28" s="18" t="s">
        <v>57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</row>
    <row r="29" spans="1:52" x14ac:dyDescent="0.45">
      <c r="A29" s="23" t="s">
        <v>82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9" t="s">
        <v>41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</row>
    <row r="30" spans="1:52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2" s="25" customFormat="1" ht="7.5" thickBo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x14ac:dyDescent="0.45">
      <c r="A32" s="20" t="s">
        <v>63</v>
      </c>
    </row>
    <row r="33" spans="1:52" x14ac:dyDescent="0.45">
      <c r="A33" s="18" t="s">
        <v>65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D33" s="18" t="s">
        <v>66</v>
      </c>
      <c r="AJ33" s="221">
        <f ca="1">TODAY()</f>
        <v>45859</v>
      </c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</row>
    <row r="34" spans="1:52" x14ac:dyDescent="0.45">
      <c r="A34" s="18" t="s">
        <v>64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52" s="25" customFormat="1" ht="7.5" thickBot="1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</sheetData>
  <dataConsolidate/>
  <mergeCells count="5">
    <mergeCell ref="AN4:AX4"/>
    <mergeCell ref="K25:Y25"/>
    <mergeCell ref="AK25:AY25"/>
    <mergeCell ref="AK27:AY27"/>
    <mergeCell ref="AJ33:AY33"/>
  </mergeCells>
  <pageMargins left="0.3" right="0.3" top="0.3" bottom="0.3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9525</xdr:rowOff>
                  </from>
                  <to>
                    <xdr:col>2</xdr:col>
                    <xdr:colOff>66675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9525</xdr:rowOff>
                  </from>
                  <to>
                    <xdr:col>2</xdr:col>
                    <xdr:colOff>66675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9525</xdr:rowOff>
                  </from>
                  <to>
                    <xdr:col>2</xdr:col>
                    <xdr:colOff>66675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9525</xdr:rowOff>
                  </from>
                  <to>
                    <xdr:col>2</xdr:col>
                    <xdr:colOff>66675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0</xdr:rowOff>
                  </from>
                  <to>
                    <xdr:col>2</xdr:col>
                    <xdr:colOff>66675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9525</xdr:rowOff>
                  </from>
                  <to>
                    <xdr:col>2</xdr:col>
                    <xdr:colOff>66675</xdr:colOff>
                    <xdr:row>11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29D50DE-621A-4B59-ABB1-BFD435017DDF}">
          <x14:formula1>
            <xm:f>'.'!$A$2:$A$4</xm:f>
          </x14:formula1>
          <xm:sqref>J27</xm:sqref>
        </x14:dataValidation>
        <x14:dataValidation type="list" allowBlank="1" showInputMessage="1" showErrorMessage="1" xr:uid="{D5AB46AC-632E-40D5-BF10-0CD983CF6389}">
          <x14:formula1>
            <xm:f>'.'!$C$2:$C$5</xm:f>
          </x14:formula1>
          <xm:sqref>M19 M24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7F2B-E227-42DC-A668-979B3FF14451}">
  <dimension ref="A1:AZ31"/>
  <sheetViews>
    <sheetView showGridLines="0" view="pageLayout" zoomScaleNormal="100" workbookViewId="0">
      <selection activeCell="S32" sqref="S32"/>
    </sheetView>
  </sheetViews>
  <sheetFormatPr defaultRowHeight="21" x14ac:dyDescent="0.45"/>
  <cols>
    <col min="1" max="52" width="1.85546875" style="18" customWidth="1"/>
    <col min="53" max="16384" width="9.140625" style="18"/>
  </cols>
  <sheetData>
    <row r="1" spans="1:52" s="19" customFormat="1" ht="23.25" x14ac:dyDescent="0.5">
      <c r="K1" s="19" t="s">
        <v>16</v>
      </c>
    </row>
    <row r="2" spans="1:52" s="19" customFormat="1" ht="23.25" x14ac:dyDescent="0.5">
      <c r="A2" s="2" t="s">
        <v>90</v>
      </c>
      <c r="B2" s="2"/>
      <c r="C2" s="2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AN2" s="20" t="s">
        <v>17</v>
      </c>
      <c r="AO2" s="20"/>
      <c r="AP2" s="20"/>
      <c r="AQ2" s="20"/>
      <c r="AR2" s="20"/>
      <c r="AS2" s="21"/>
      <c r="AT2" s="21" t="str">
        <f ca="1">"LC"&amp;TEXT(TODAY(),"YYMMDD")&amp;"001"</f>
        <v>LC250721001</v>
      </c>
      <c r="AU2" s="21"/>
      <c r="AV2" s="21"/>
      <c r="AW2" s="21"/>
      <c r="AX2" s="21"/>
      <c r="AY2" s="21"/>
      <c r="AZ2" s="22"/>
    </row>
    <row r="3" spans="1:52" x14ac:dyDescent="0.45">
      <c r="A3" s="20" t="s">
        <v>18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spans="1:52" x14ac:dyDescent="0.45">
      <c r="A4" s="20" t="s">
        <v>19</v>
      </c>
      <c r="F4" s="12" t="s">
        <v>20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4"/>
      <c r="AH4" s="14"/>
      <c r="AI4" s="20" t="s">
        <v>21</v>
      </c>
      <c r="AN4" s="222">
        <f ca="1">NOW()</f>
        <v>45859.680692824077</v>
      </c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14"/>
    </row>
    <row r="5" spans="1:52" s="25" customFormat="1" ht="7.5" thickBo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x14ac:dyDescent="0.45">
      <c r="A6" s="20" t="s">
        <v>22</v>
      </c>
    </row>
    <row r="7" spans="1:52" s="22" customFormat="1" x14ac:dyDescent="0.45">
      <c r="B7" s="22" t="s">
        <v>83</v>
      </c>
      <c r="AZ7" s="23"/>
    </row>
    <row r="8" spans="1:52" s="23" customFormat="1" x14ac:dyDescent="0.4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2" s="23" customFormat="1" x14ac:dyDescent="0.4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2" s="23" customFormat="1" x14ac:dyDescent="0.4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2" s="23" customFormat="1" x14ac:dyDescent="0.4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2" s="23" customFormat="1" x14ac:dyDescent="0.4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2" x14ac:dyDescent="0.45">
      <c r="A13" s="30" t="s">
        <v>84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27" t="s">
        <v>41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</row>
    <row r="14" spans="1:52" x14ac:dyDescent="0.4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</row>
    <row r="15" spans="1:52" x14ac:dyDescent="0.45">
      <c r="A15" s="18" t="s">
        <v>42</v>
      </c>
      <c r="L15" s="12"/>
      <c r="M15" s="12" t="s">
        <v>45</v>
      </c>
      <c r="N15" s="12"/>
      <c r="O15" s="12"/>
      <c r="P15" s="12"/>
      <c r="Q15" s="12"/>
      <c r="R15" s="12"/>
      <c r="S15" s="12"/>
      <c r="T15" s="12"/>
      <c r="U15" s="12"/>
      <c r="W15" s="18" t="s">
        <v>57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2" x14ac:dyDescent="0.45">
      <c r="A16" s="17" t="s">
        <v>46</v>
      </c>
    </row>
    <row r="17" spans="1:52" x14ac:dyDescent="0.45">
      <c r="A17" s="17" t="s">
        <v>47</v>
      </c>
    </row>
    <row r="18" spans="1:52" s="25" customFormat="1" ht="7.5" thickBot="1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x14ac:dyDescent="0.45">
      <c r="A19" s="20" t="s">
        <v>52</v>
      </c>
    </row>
    <row r="20" spans="1:52" x14ac:dyDescent="0.45">
      <c r="A20" s="18" t="s">
        <v>42</v>
      </c>
      <c r="L20" s="12"/>
      <c r="M20" s="12" t="s">
        <v>44</v>
      </c>
      <c r="N20" s="12"/>
      <c r="O20" s="12"/>
      <c r="P20" s="12"/>
      <c r="Q20" s="12"/>
      <c r="R20" s="12"/>
      <c r="S20" s="12"/>
      <c r="T20" s="12"/>
      <c r="U20" s="12"/>
      <c r="W20" s="18" t="s">
        <v>57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2" x14ac:dyDescent="0.45">
      <c r="A21" s="18" t="s">
        <v>48</v>
      </c>
      <c r="K21" s="221">
        <f ca="1">TODAY()</f>
        <v>45859</v>
      </c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3"/>
      <c r="AA21" s="23"/>
      <c r="AB21" s="23"/>
      <c r="AC21" s="18" t="s">
        <v>50</v>
      </c>
      <c r="AK21" s="221">
        <f ca="1">TODAY()</f>
        <v>45859</v>
      </c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</row>
    <row r="22" spans="1:52" x14ac:dyDescent="0.45">
      <c r="A22" s="18" t="s">
        <v>49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2" x14ac:dyDescent="0.45">
      <c r="A23" s="18" t="s">
        <v>51</v>
      </c>
      <c r="J23" s="12" t="s">
        <v>55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23"/>
      <c r="AC23" s="18" t="s">
        <v>56</v>
      </c>
      <c r="AK23" s="221">
        <f ca="1">TODAY()</f>
        <v>45859</v>
      </c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</row>
    <row r="24" spans="1:52" x14ac:dyDescent="0.45">
      <c r="A24" s="18" t="s">
        <v>57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2" x14ac:dyDescent="0.45">
      <c r="A25" s="23" t="s">
        <v>82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9" t="s">
        <v>41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2" x14ac:dyDescent="0.4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52" s="25" customFormat="1" ht="7.5" thickBot="1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x14ac:dyDescent="0.45">
      <c r="A28" s="20" t="s">
        <v>63</v>
      </c>
    </row>
    <row r="29" spans="1:52" x14ac:dyDescent="0.45">
      <c r="A29" s="18" t="s">
        <v>65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D29" s="18" t="s">
        <v>66</v>
      </c>
      <c r="AJ29" s="221">
        <f ca="1">TODAY()</f>
        <v>45859</v>
      </c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</row>
    <row r="30" spans="1:52" x14ac:dyDescent="0.45">
      <c r="A30" s="18" t="s">
        <v>64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</row>
    <row r="31" spans="1:52" s="25" customFormat="1" ht="7.5" thickBot="1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</sheetData>
  <dataConsolidate/>
  <mergeCells count="5">
    <mergeCell ref="AN4:AX4"/>
    <mergeCell ref="K21:Y21"/>
    <mergeCell ref="AK21:AY21"/>
    <mergeCell ref="AK23:AY23"/>
    <mergeCell ref="AJ29:AY29"/>
  </mergeCells>
  <pageMargins left="0.3" right="0.3" top="0.3" bottom="0.3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2E610C-306D-4C4C-97B3-362DAD1393B5}">
          <x14:formula1>
            <xm:f>'.'!$C$2:$C$5</xm:f>
          </x14:formula1>
          <xm:sqref>M15 M20</xm:sqref>
        </x14:dataValidation>
        <x14:dataValidation type="list" allowBlank="1" showInputMessage="1" showErrorMessage="1" xr:uid="{CF52EBF0-A866-45AA-AFC8-4E7FECEDC83B}">
          <x14:formula1>
            <xm:f>'.'!$A$2:$A$4</xm:f>
          </x14:formula1>
          <xm:sqref>J23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24A0-9A62-4FF0-91AD-072467E0D27C}">
  <dimension ref="A1:C5"/>
  <sheetViews>
    <sheetView workbookViewId="0"/>
  </sheetViews>
  <sheetFormatPr defaultRowHeight="15" x14ac:dyDescent="0.25"/>
  <cols>
    <col min="1" max="1" width="41" bestFit="1" customWidth="1"/>
    <col min="2" max="2" width="19.7109375" bestFit="1" customWidth="1"/>
    <col min="3" max="3" width="13.28515625" bestFit="1" customWidth="1"/>
  </cols>
  <sheetData>
    <row r="1" spans="1:3" x14ac:dyDescent="0.25">
      <c r="A1" s="37" t="s">
        <v>51</v>
      </c>
      <c r="B1" s="37" t="s">
        <v>60</v>
      </c>
      <c r="C1" s="37" t="s">
        <v>62</v>
      </c>
    </row>
    <row r="2" spans="1:3" x14ac:dyDescent="0.25">
      <c r="A2" t="s">
        <v>53</v>
      </c>
      <c r="B2" t="s">
        <v>36</v>
      </c>
      <c r="C2" t="s">
        <v>43</v>
      </c>
    </row>
    <row r="3" spans="1:3" x14ac:dyDescent="0.25">
      <c r="A3" t="s">
        <v>55</v>
      </c>
      <c r="B3" t="s">
        <v>37</v>
      </c>
      <c r="C3" t="s">
        <v>44</v>
      </c>
    </row>
    <row r="4" spans="1:3" x14ac:dyDescent="0.25">
      <c r="A4" t="s">
        <v>54</v>
      </c>
      <c r="B4" t="s">
        <v>61</v>
      </c>
      <c r="C4" t="s">
        <v>45</v>
      </c>
    </row>
    <row r="5" spans="1:3" x14ac:dyDescent="0.25">
      <c r="C5" t="s">
        <v>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4B1A-6523-4850-BFE7-0E98667FFDA3}">
  <dimension ref="A1:C15"/>
  <sheetViews>
    <sheetView showGridLines="0" topLeftCell="A2" workbookViewId="0">
      <selection activeCell="A2" sqref="A2"/>
    </sheetView>
  </sheetViews>
  <sheetFormatPr defaultRowHeight="15" x14ac:dyDescent="0.25"/>
  <cols>
    <col min="1" max="1" width="7.5703125" customWidth="1"/>
    <col min="2" max="3" width="20.5703125" bestFit="1" customWidth="1"/>
  </cols>
  <sheetData>
    <row r="1" spans="1:3" x14ac:dyDescent="0.25">
      <c r="A1" s="32" t="s">
        <v>85</v>
      </c>
    </row>
    <row r="2" spans="1:3" x14ac:dyDescent="0.25">
      <c r="B2" s="32" t="s">
        <v>0</v>
      </c>
    </row>
    <row r="3" spans="1:3" x14ac:dyDescent="0.25">
      <c r="B3" t="s">
        <v>1</v>
      </c>
      <c r="C3" t="s">
        <v>2</v>
      </c>
    </row>
    <row r="4" spans="1:3" x14ac:dyDescent="0.25">
      <c r="B4" t="s">
        <v>3</v>
      </c>
      <c r="C4" t="s">
        <v>8</v>
      </c>
    </row>
    <row r="5" spans="1:3" x14ac:dyDescent="0.25">
      <c r="B5" t="s">
        <v>4</v>
      </c>
      <c r="C5" t="s">
        <v>9</v>
      </c>
    </row>
    <row r="6" spans="1:3" x14ac:dyDescent="0.25">
      <c r="B6" t="s">
        <v>5</v>
      </c>
      <c r="C6" t="s">
        <v>10</v>
      </c>
    </row>
    <row r="7" spans="1:3" x14ac:dyDescent="0.25">
      <c r="B7" t="s">
        <v>6</v>
      </c>
      <c r="C7" t="s">
        <v>7</v>
      </c>
    </row>
    <row r="9" spans="1:3" x14ac:dyDescent="0.25">
      <c r="B9" s="33" t="s">
        <v>86</v>
      </c>
      <c r="C9" s="34"/>
    </row>
    <row r="10" spans="1:3" x14ac:dyDescent="0.25">
      <c r="B10" s="33" t="str">
        <f ca="1">"LC"&amp;TEXT(TODAY(),"YYMMDD")&amp;C10</f>
        <v>LC250721001</v>
      </c>
      <c r="C10" s="35" t="s">
        <v>11</v>
      </c>
    </row>
    <row r="11" spans="1:3" x14ac:dyDescent="0.25">
      <c r="B11" s="33" t="str">
        <f t="shared" ref="B11:B14" ca="1" si="0">"LC"&amp;TEXT(TODAY(),"YYMMDD")&amp;C11</f>
        <v>LC250721002</v>
      </c>
      <c r="C11" s="35" t="s">
        <v>12</v>
      </c>
    </row>
    <row r="12" spans="1:3" x14ac:dyDescent="0.25">
      <c r="B12" s="33" t="str">
        <f t="shared" ca="1" si="0"/>
        <v>LC250721003</v>
      </c>
      <c r="C12" s="35" t="s">
        <v>13</v>
      </c>
    </row>
    <row r="13" spans="1:3" x14ac:dyDescent="0.25">
      <c r="B13" s="33" t="str">
        <f t="shared" ca="1" si="0"/>
        <v>LC250721004</v>
      </c>
      <c r="C13" s="35" t="s">
        <v>14</v>
      </c>
    </row>
    <row r="14" spans="1:3" x14ac:dyDescent="0.25">
      <c r="B14" s="33" t="str">
        <f t="shared" ca="1" si="0"/>
        <v>LC250721005</v>
      </c>
      <c r="C14" s="35" t="s">
        <v>15</v>
      </c>
    </row>
    <row r="15" spans="1:3" x14ac:dyDescent="0.25">
      <c r="C15" s="3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Screen</vt:lpstr>
      <vt:lpstr>2.1</vt:lpstr>
      <vt:lpstr>2.2</vt:lpstr>
      <vt:lpstr>2.3</vt:lpstr>
      <vt:lpstr>2.4</vt:lpstr>
      <vt:lpstr>.</vt:lpstr>
      <vt:lpstr>Doc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chaosua_biadmin chaosua</dc:creator>
  <cp:lastModifiedBy>chaosua_biadmin chaosua</cp:lastModifiedBy>
  <dcterms:created xsi:type="dcterms:W3CDTF">2025-07-17T06:54:59Z</dcterms:created>
  <dcterms:modified xsi:type="dcterms:W3CDTF">2025-07-21T09:22:38Z</dcterms:modified>
</cp:coreProperties>
</file>