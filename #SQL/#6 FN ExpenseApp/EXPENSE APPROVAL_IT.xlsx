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anun.a\Desktop\"/>
    </mc:Choice>
  </mc:AlternateContent>
  <xr:revisionPtr revIDLastSave="0" documentId="13_ncr:1_{7BCB2BB4-5680-4C6C-9E68-87CF6D5687CE}" xr6:coauthVersionLast="47" xr6:coauthVersionMax="47" xr10:uidLastSave="{00000000-0000-0000-0000-000000000000}"/>
  <bookViews>
    <workbookView xWindow="-108" yWindow="-108" windowWidth="23256" windowHeight="13896" xr2:uid="{8A641D9F-718F-4419-BF5A-B5E237E73FC7}"/>
  </bookViews>
  <sheets>
    <sheet name="PE-202500002" sheetId="3" r:id="rId1"/>
    <sheet name="Administrative" sheetId="1" r:id="rId2"/>
    <sheet name="Selling" sheetId="2" r:id="rId3"/>
  </sheets>
  <definedNames>
    <definedName name="_xlnm.Print_Area" localSheetId="1">Administrative!$A:$F</definedName>
    <definedName name="_xlnm.Print_Area" localSheetId="0">'PE-202500002'!$A:$F</definedName>
    <definedName name="_xlnm.Print_Area" localSheetId="2">Selling!$A:$F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3" l="1"/>
  <c r="H14" i="3" s="1"/>
  <c r="F28" i="3" l="1" a="1"/>
  <c r="F28" i="3" s="1"/>
  <c r="D28" i="3" a="1"/>
  <c r="D28" i="3" s="1"/>
  <c r="F23" i="2" l="1"/>
  <c r="H14" i="2"/>
  <c r="F28" i="2" s="1" a="1"/>
  <c r="F28" i="2" s="1"/>
  <c r="D28" i="2" l="1" a="1"/>
  <c r="D28" i="2" s="1"/>
  <c r="K28" i="1"/>
  <c r="I28" i="1"/>
  <c r="K26" i="1"/>
  <c r="I26" i="1"/>
  <c r="K24" i="1"/>
  <c r="I24" i="1"/>
  <c r="F23" i="1"/>
  <c r="H14" i="1"/>
  <c r="F28" i="1" s="1" a="1"/>
  <c r="F28" i="1" s="1"/>
  <c r="D28" i="1" l="1" a="1"/>
  <c r="D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<sst xmlns="http://schemas.openxmlformats.org/spreadsheetml/2006/main" count="287" uniqueCount="55">
  <si>
    <t xml:space="preserve">EXPENSE APPROVAL </t>
  </si>
  <si>
    <t>CEO</t>
  </si>
  <si>
    <t>Chairat Kongsuphamanon</t>
  </si>
  <si>
    <t>Chief Executive Officer</t>
  </si>
  <si>
    <t>CFO</t>
  </si>
  <si>
    <t>Intu-on Morin</t>
  </si>
  <si>
    <t>Chief Financial Officer</t>
  </si>
  <si>
    <t>No.</t>
  </si>
  <si>
    <t>AD-202500009</t>
  </si>
  <si>
    <t>BOD</t>
  </si>
  <si>
    <t>Napatr Morin</t>
  </si>
  <si>
    <t xml:space="preserve">Directors </t>
  </si>
  <si>
    <t>Date</t>
  </si>
  <si>
    <t>Sirinat Chayanan</t>
  </si>
  <si>
    <t>Administrative Expenses</t>
  </si>
  <si>
    <t>£    Adminstrative Expenses</t>
  </si>
  <si>
    <t>CODE</t>
  </si>
  <si>
    <t>start</t>
  </si>
  <si>
    <t>end</t>
  </si>
  <si>
    <t xml:space="preserve">CEO </t>
  </si>
  <si>
    <t>ADMIN</t>
  </si>
  <si>
    <t>P100</t>
  </si>
  <si>
    <t>P</t>
  </si>
  <si>
    <t>Purpose for expense:</t>
  </si>
  <si>
    <t>P200</t>
  </si>
  <si>
    <t>R</t>
  </si>
  <si>
    <t xml:space="preserve">AS WORLD USA, LLC  -  Administrative Service Fee June'2025 </t>
  </si>
  <si>
    <t>Serial No.</t>
  </si>
  <si>
    <t>Description</t>
  </si>
  <si>
    <t>Amount</t>
  </si>
  <si>
    <t>Review</t>
  </si>
  <si>
    <t>Approve</t>
  </si>
  <si>
    <t>Administrative Service Fee Jun'2025</t>
  </si>
  <si>
    <t>Admin</t>
  </si>
  <si>
    <t>Total</t>
  </si>
  <si>
    <t>Requested by</t>
  </si>
  <si>
    <t>Reviewed By</t>
  </si>
  <si>
    <t>Approved By</t>
  </si>
  <si>
    <t>SE-202500006</t>
  </si>
  <si>
    <t>Selling Expenses</t>
  </si>
  <si>
    <t>£    Selling Expenses</t>
  </si>
  <si>
    <t>Sale manager</t>
  </si>
  <si>
    <t>S100</t>
  </si>
  <si>
    <t>S200</t>
  </si>
  <si>
    <t>AS WORLD USA, LLC  -  Expense for the Winter Fancy Food Show 2025</t>
  </si>
  <si>
    <t>S300</t>
  </si>
  <si>
    <t>Expense for the Winter Fancy Food Show 2025</t>
  </si>
  <si>
    <t>-</t>
  </si>
  <si>
    <t xml:space="preserve">Thanapong Yacharn </t>
  </si>
  <si>
    <t>Sales Manager</t>
  </si>
  <si>
    <t>PE-202500002</t>
  </si>
  <si>
    <t>Purchase Order</t>
  </si>
  <si>
    <t>Wholesome Three Internationl Co.,Ltd. -  Goods - shipment WH011/25 , WH041/25</t>
  </si>
  <si>
    <t xml:space="preserve">Goods - shipment WH032/25 </t>
  </si>
  <si>
    <t xml:space="preserve">Goods - shipment WH041/25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</si>
</sst>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&quot;$&quot;* #,##0.00_);_(&quot;$&quot;* \(#,##0.00\);_(&quot;$&quot;* &quot;-&quot;??_);_(@_)"/>
    <numFmt numFmtId="188" formatCode="_(* #,##0.00_);_(* \(#,##0.00\);_(* &quot;-&quot;??_);_(@_)"/>
    <numFmt numFmtId="189" formatCode="[$-409]mmmm\ d\,\ yyyy;@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26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88" fontId="1" fillId="0" borderId="0" applyFont="0" applyFill="0" applyBorder="0" applyAlignment="0" applyProtection="0"/>
    <xf numFmtId="187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Alignment="1">
      <alignment horizontal="centerContinuous"/>
    </xf>
    <xf numFmtId="0" fontId="0" fillId="0" borderId="1" xfId="0" applyBorder="1"/>
    <xf numFmtId="0" fontId="2" fillId="0" borderId="1" xfId="0" applyFont="1" applyBorder="1"/>
    <xf numFmtId="188" fontId="0" fillId="0" borderId="0" xfId="1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2" xfId="0" applyBorder="1" applyAlignment="1">
      <alignment horizontal="left"/>
    </xf>
    <xf numFmtId="189" fontId="0" fillId="0" borderId="3" xfId="0" applyNumberFormat="1" applyBorder="1" applyAlignment="1">
      <alignment horizontal="left"/>
    </xf>
    <xf numFmtId="0" fontId="3" fillId="0" borderId="1" xfId="0" applyFont="1" applyBorder="1" applyAlignment="1">
      <alignment horizontal="center"/>
    </xf>
    <xf numFmtId="188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88" fontId="0" fillId="0" borderId="1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quotePrefix="1" applyFont="1" applyBorder="1"/>
    <xf numFmtId="0" fontId="3" fillId="0" borderId="4" xfId="0" applyFont="1" applyBorder="1"/>
    <xf numFmtId="0" fontId="3" fillId="0" borderId="0" xfId="0" applyFont="1" applyAlignment="1">
      <alignment horizontal="center"/>
    </xf>
    <xf numFmtId="188" fontId="3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Continuous" wrapText="1"/>
    </xf>
    <xf numFmtId="0" fontId="3" fillId="3" borderId="1" xfId="0" applyFont="1" applyFill="1" applyBorder="1" applyAlignment="1">
      <alignment horizontal="centerContinuous"/>
    </xf>
    <xf numFmtId="187" fontId="3" fillId="0" borderId="0" xfId="2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/>
    <xf numFmtId="0" fontId="0" fillId="0" borderId="4" xfId="0" applyBorder="1"/>
    <xf numFmtId="0" fontId="0" fillId="0" borderId="5" xfId="0" applyBorder="1"/>
    <xf numFmtId="187" fontId="0" fillId="0" borderId="5" xfId="2" applyFont="1" applyBorder="1"/>
    <xf numFmtId="187" fontId="0" fillId="0" borderId="0" xfId="2" applyFont="1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/>
    </xf>
    <xf numFmtId="0" fontId="2" fillId="0" borderId="7" xfId="0" applyFont="1" applyBorder="1"/>
    <xf numFmtId="187" fontId="0" fillId="0" borderId="4" xfId="2" applyFont="1" applyBorder="1"/>
    <xf numFmtId="187" fontId="0" fillId="0" borderId="1" xfId="2" applyFont="1" applyBorder="1"/>
    <xf numFmtId="0" fontId="0" fillId="0" borderId="8" xfId="0" applyBorder="1"/>
    <xf numFmtId="0" fontId="3" fillId="0" borderId="9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87" fontId="3" fillId="0" borderId="1" xfId="2" applyFont="1" applyBorder="1" applyAlignment="1">
      <alignment horizontal="right"/>
    </xf>
    <xf numFmtId="187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89" fontId="0" fillId="0" borderId="4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189" fontId="6" fillId="0" borderId="4" xfId="0" applyNumberFormat="1" applyFont="1" applyBorder="1" applyAlignment="1">
      <alignment horizontal="left"/>
    </xf>
    <xf numFmtId="0" fontId="0" fillId="0" borderId="4" xfId="0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12</xdr:row>
      <xdr:rowOff>152400</xdr:rowOff>
    </xdr:from>
    <xdr:to>
      <xdr:col>19</xdr:col>
      <xdr:colOff>428625</xdr:colOff>
      <xdr:row>29</xdr:row>
      <xdr:rowOff>281764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CD9A5-D0F6-419C-A831-C1830F74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676525"/>
          <a:ext cx="5667375" cy="4272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171449</xdr:colOff>
      <xdr:row>14</xdr:row>
      <xdr:rowOff>164011</xdr:rowOff>
    </xdr:from>
    <xdr:to>
      <xdr:col>20</xdr:col>
      <xdr:colOff>619125</xdr:colOff>
      <xdr:row>26</xdr:row>
      <xdr:rowOff>139362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BD2182-947E-488F-AE69-59B99BB6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49" y="3069136"/>
          <a:ext cx="6210301" cy="2451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13</xdr:row>
      <xdr:rowOff>152401</xdr:rowOff>
    </xdr:from>
    <xdr:to>
      <xdr:col>19</xdr:col>
      <xdr:colOff>620283</xdr:colOff>
      <xdr:row>23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1FDDF-E50D-47FD-8ADB-03B2FBAD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5900" y="2867026"/>
          <a:ext cx="5839983" cy="2057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2355-F4A9-4100-9F57-57446C5E0B61}">
  <sheetPr>
    <pageSetUpPr fitToPage="1"/>
  </sheetPr>
  <dimension ref="A2:O39"/>
  <sheetViews>
    <sheetView showGridLines="0" tabSelected="1" showWhiteSpace="0" view="pageLayout" topLeftCell="A4" zoomScale="70" zoomScaleNormal="100" zoomScaleSheetLayoutView="100" zoomScalePageLayoutView="70" workbookViewId="0">
      <selection activeCell="K18" sqref="K18"/>
    </sheetView>
  </sheetViews>
  <sheetFormatPr defaultRowHeight="13.8" x14ac:dyDescent="0.25"/>
  <cols>
    <col min="1" max="1" width="5.3984375" customWidth="1"/>
    <col min="2" max="2" width="24" bestFit="1" customWidth="1"/>
    <col min="3" max="3" width="5.3984375" customWidth="1"/>
    <col min="4" max="4" width="24" bestFit="1" customWidth="1"/>
    <col min="5" max="5" width="5.3984375" customWidth="1"/>
    <col min="6" max="6" width="24" bestFit="1" customWidth="1"/>
    <col min="7" max="7" width="7.8984375" customWidth="1"/>
    <col min="8" max="8" width="12.69921875" bestFit="1" customWidth="1"/>
    <col min="9" max="9" width="24" customWidth="1"/>
    <col min="10" max="10" width="21.69921875" bestFit="1" customWidth="1"/>
    <col min="11" max="11" width="24" bestFit="1" customWidth="1"/>
    <col min="12" max="12" width="5" bestFit="1" customWidth="1"/>
    <col min="13" max="13" width="6" bestFit="1" customWidth="1"/>
    <col min="14" max="14" width="14.3984375" bestFit="1" customWidth="1"/>
    <col min="16" max="16" width="11.59765625" bestFit="1" customWidth="1"/>
    <col min="17" max="17" width="10.59765625" bestFit="1" customWidth="1"/>
    <col min="21" max="21" width="14.3984375" bestFit="1" customWidth="1"/>
  </cols>
  <sheetData>
    <row r="2" spans="1:15" s="5" customFormat="1" ht="31.8" x14ac:dyDescent="0.5">
      <c r="A2" s="1" t="s">
        <v>0</v>
      </c>
      <c r="B2" s="1"/>
      <c r="C2" s="1"/>
      <c r="D2" s="1"/>
      <c r="E2" s="1"/>
      <c r="F2" s="1"/>
      <c r="G2" s="1"/>
      <c r="H2" s="2" t="s">
        <v>1</v>
      </c>
      <c r="I2" s="2" t="s">
        <v>2</v>
      </c>
      <c r="J2" s="3" t="s">
        <v>3</v>
      </c>
      <c r="K2"/>
      <c r="L2" s="4"/>
      <c r="M2" s="4"/>
      <c r="N2"/>
    </row>
    <row r="3" spans="1:15" s="6" customFormat="1" x14ac:dyDescent="0.25">
      <c r="H3" s="2" t="s">
        <v>4</v>
      </c>
      <c r="I3" s="2" t="s">
        <v>5</v>
      </c>
      <c r="J3" s="3" t="s">
        <v>6</v>
      </c>
      <c r="K3"/>
      <c r="L3" s="4"/>
      <c r="M3" s="4"/>
      <c r="N3"/>
    </row>
    <row r="4" spans="1:15" s="6" customFormat="1" x14ac:dyDescent="0.25">
      <c r="A4" s="7"/>
      <c r="B4" s="7"/>
      <c r="C4" s="7"/>
      <c r="D4" s="7"/>
      <c r="E4" s="7" t="s">
        <v>7</v>
      </c>
      <c r="F4" s="8" t="s">
        <v>50</v>
      </c>
      <c r="H4" s="2" t="s">
        <v>9</v>
      </c>
      <c r="I4" s="2" t="s">
        <v>10</v>
      </c>
      <c r="J4" s="3" t="s">
        <v>11</v>
      </c>
      <c r="K4"/>
      <c r="L4" s="4"/>
      <c r="M4" s="4"/>
      <c r="N4"/>
    </row>
    <row r="5" spans="1:15" s="6" customFormat="1" x14ac:dyDescent="0.25">
      <c r="A5" s="7"/>
      <c r="B5" s="7"/>
      <c r="C5" s="7"/>
      <c r="D5" s="7"/>
      <c r="E5" s="7" t="s">
        <v>12</v>
      </c>
      <c r="F5" s="53">
        <v>45848</v>
      </c>
      <c r="H5" s="2" t="s">
        <v>9</v>
      </c>
      <c r="I5" s="2" t="s">
        <v>13</v>
      </c>
      <c r="J5" s="3" t="s">
        <v>11</v>
      </c>
      <c r="K5"/>
      <c r="L5" s="4"/>
      <c r="M5" s="4"/>
      <c r="N5"/>
    </row>
    <row r="6" spans="1:15" s="6" customFormat="1" x14ac:dyDescent="0.25">
      <c r="H6"/>
      <c r="I6"/>
      <c r="J6"/>
      <c r="K6"/>
      <c r="L6" s="4"/>
      <c r="M6" s="4"/>
      <c r="N6"/>
    </row>
    <row r="7" spans="1:15" s="6" customFormat="1" x14ac:dyDescent="0.25">
      <c r="A7" s="6" t="s">
        <v>51</v>
      </c>
      <c r="H7" s="6" t="s">
        <v>40</v>
      </c>
      <c r="J7"/>
      <c r="K7"/>
      <c r="L7"/>
      <c r="M7" s="4"/>
      <c r="N7" s="4"/>
    </row>
    <row r="8" spans="1:15" s="6" customFormat="1" x14ac:dyDescent="0.25">
      <c r="H8" s="10" t="s">
        <v>16</v>
      </c>
      <c r="I8" s="10" t="s">
        <v>17</v>
      </c>
      <c r="J8" s="10" t="s">
        <v>18</v>
      </c>
      <c r="K8" s="10" t="s">
        <v>9</v>
      </c>
      <c r="L8" s="10" t="s">
        <v>19</v>
      </c>
      <c r="M8" s="11" t="s">
        <v>4</v>
      </c>
      <c r="N8" s="11" t="s">
        <v>41</v>
      </c>
      <c r="O8" s="10" t="s">
        <v>20</v>
      </c>
    </row>
    <row r="9" spans="1:15" s="6" customFormat="1" x14ac:dyDescent="0.25">
      <c r="H9" s="12" t="s">
        <v>42</v>
      </c>
      <c r="I9" s="13">
        <v>1</v>
      </c>
      <c r="J9" s="13">
        <v>400000</v>
      </c>
      <c r="K9" s="10"/>
      <c r="L9" s="10" t="s">
        <v>22</v>
      </c>
      <c r="M9" s="10" t="s">
        <v>22</v>
      </c>
      <c r="N9" s="11" t="s">
        <v>25</v>
      </c>
      <c r="O9" s="11"/>
    </row>
    <row r="10" spans="1:15" s="6" customFormat="1" x14ac:dyDescent="0.25">
      <c r="A10" s="6" t="s">
        <v>23</v>
      </c>
      <c r="H10" s="14" t="s">
        <v>43</v>
      </c>
      <c r="I10" s="13">
        <v>400001</v>
      </c>
      <c r="J10" s="13">
        <v>1000000</v>
      </c>
      <c r="K10" s="10"/>
      <c r="L10" s="10" t="s">
        <v>22</v>
      </c>
      <c r="M10" s="11" t="s">
        <v>22</v>
      </c>
      <c r="N10" s="11" t="s">
        <v>25</v>
      </c>
      <c r="O10" s="2"/>
    </row>
    <row r="11" spans="1:15" s="6" customFormat="1" x14ac:dyDescent="0.25">
      <c r="A11" s="15"/>
      <c r="B11" s="15" t="s">
        <v>52</v>
      </c>
      <c r="C11" s="15"/>
      <c r="D11" s="16"/>
      <c r="E11" s="15"/>
      <c r="F11" s="15"/>
      <c r="H11" s="14" t="s">
        <v>45</v>
      </c>
      <c r="I11" s="13">
        <v>1000001</v>
      </c>
      <c r="J11" s="13"/>
      <c r="K11" s="10" t="s">
        <v>22</v>
      </c>
      <c r="L11" s="10" t="s">
        <v>25</v>
      </c>
      <c r="M11" s="11" t="s">
        <v>25</v>
      </c>
      <c r="N11" s="11" t="s">
        <v>25</v>
      </c>
      <c r="O11" s="2"/>
    </row>
    <row r="12" spans="1:15" s="6" customFormat="1" x14ac:dyDescent="0.25">
      <c r="A12" s="15"/>
      <c r="B12" s="15"/>
      <c r="C12" s="15"/>
      <c r="D12" s="15"/>
      <c r="E12" s="15"/>
      <c r="F12" s="15"/>
      <c r="H12" s="14"/>
      <c r="I12" s="13"/>
      <c r="J12" s="13"/>
      <c r="K12" s="10"/>
      <c r="L12" s="10"/>
      <c r="M12" s="11"/>
      <c r="N12" s="11"/>
      <c r="O12" s="2"/>
    </row>
    <row r="13" spans="1:15" s="6" customFormat="1" x14ac:dyDescent="0.25">
      <c r="A13" s="17"/>
      <c r="B13" s="17"/>
      <c r="C13" s="17"/>
      <c r="D13" s="17"/>
      <c r="E13" s="17"/>
      <c r="F13" s="17"/>
      <c r="H13"/>
      <c r="I13" s="4"/>
      <c r="J13" s="4"/>
      <c r="K13" s="18"/>
      <c r="L13" s="18"/>
      <c r="M13" s="19"/>
      <c r="N13"/>
    </row>
    <row r="14" spans="1:15" s="6" customFormat="1" x14ac:dyDescent="0.25">
      <c r="A14" s="17"/>
      <c r="B14" s="17"/>
      <c r="C14" s="17"/>
      <c r="D14" s="17"/>
      <c r="E14" s="17"/>
      <c r="F14" s="17"/>
      <c r="H14" s="20" t="str">
        <f>+LOOKUP(F23,I9:J11,H9:H11)</f>
        <v>S100</v>
      </c>
      <c r="I14"/>
      <c r="J14"/>
      <c r="K14"/>
      <c r="L14"/>
      <c r="M14" s="4"/>
      <c r="N14" s="4"/>
    </row>
    <row r="15" spans="1:15" s="6" customFormat="1" x14ac:dyDescent="0.25">
      <c r="H15" s="21"/>
      <c r="I15"/>
      <c r="J15"/>
      <c r="K15"/>
      <c r="L15" s="4"/>
      <c r="M15" s="4"/>
      <c r="N15"/>
    </row>
    <row r="16" spans="1:15" s="18" customFormat="1" ht="41.4" x14ac:dyDescent="0.25">
      <c r="A16" s="22" t="s">
        <v>27</v>
      </c>
      <c r="B16" s="23" t="s">
        <v>28</v>
      </c>
      <c r="C16" s="23"/>
      <c r="D16" s="23"/>
      <c r="E16" s="23"/>
      <c r="F16" s="23" t="s">
        <v>29</v>
      </c>
      <c r="G16" s="24"/>
      <c r="H16" s="25" t="s">
        <v>25</v>
      </c>
      <c r="I16" s="25" t="s">
        <v>30</v>
      </c>
      <c r="J16" s="26" t="s">
        <v>22</v>
      </c>
      <c r="K16" s="26" t="s">
        <v>31</v>
      </c>
      <c r="L16" s="4"/>
      <c r="M16" s="4"/>
      <c r="N16"/>
      <c r="O16" s="6"/>
    </row>
    <row r="17" spans="1:15" x14ac:dyDescent="0.25">
      <c r="A17" s="2">
        <v>1</v>
      </c>
      <c r="B17" s="54" t="s">
        <v>53</v>
      </c>
      <c r="C17" s="27"/>
      <c r="D17" s="27"/>
      <c r="E17" s="28"/>
      <c r="F17" s="29">
        <v>8776.7999999999993</v>
      </c>
      <c r="G17" s="30"/>
      <c r="H17" s="2" t="s">
        <v>42</v>
      </c>
      <c r="I17" s="47" t="s">
        <v>48</v>
      </c>
      <c r="J17" s="48" t="s">
        <v>42</v>
      </c>
      <c r="K17" s="2" t="s">
        <v>2</v>
      </c>
      <c r="L17" s="4"/>
      <c r="M17" s="4"/>
      <c r="O17" s="18"/>
    </row>
    <row r="18" spans="1:15" x14ac:dyDescent="0.25">
      <c r="A18" s="2">
        <v>2</v>
      </c>
      <c r="B18" s="27" t="s">
        <v>54</v>
      </c>
      <c r="C18" s="27"/>
      <c r="D18" s="27"/>
      <c r="E18" s="28"/>
      <c r="F18" s="29">
        <v>16417.8</v>
      </c>
      <c r="G18" s="30"/>
      <c r="H18" s="3" t="s">
        <v>42</v>
      </c>
      <c r="I18" s="3" t="s">
        <v>49</v>
      </c>
      <c r="J18" s="3" t="s">
        <v>42</v>
      </c>
      <c r="K18" s="3" t="s">
        <v>3</v>
      </c>
      <c r="L18" s="4"/>
      <c r="M18" s="4"/>
    </row>
    <row r="19" spans="1:15" x14ac:dyDescent="0.25">
      <c r="A19" s="2"/>
      <c r="B19" s="27"/>
      <c r="C19" s="35"/>
      <c r="D19" s="35"/>
      <c r="E19" s="29"/>
      <c r="F19" s="29"/>
      <c r="G19" s="30"/>
      <c r="H19" s="3"/>
      <c r="I19" s="3"/>
      <c r="J19" s="48" t="s">
        <v>42</v>
      </c>
      <c r="K19" s="2" t="s">
        <v>5</v>
      </c>
      <c r="L19" s="4"/>
      <c r="M19" s="4"/>
    </row>
    <row r="20" spans="1:15" x14ac:dyDescent="0.25">
      <c r="A20" s="2"/>
      <c r="B20" s="27"/>
      <c r="C20" s="35"/>
      <c r="D20" s="27"/>
      <c r="E20" s="29"/>
      <c r="F20" s="29"/>
      <c r="G20" s="30"/>
      <c r="H20" s="3"/>
      <c r="I20" s="3"/>
      <c r="J20" s="3" t="s">
        <v>42</v>
      </c>
      <c r="K20" s="3" t="s">
        <v>6</v>
      </c>
      <c r="L20" s="4"/>
      <c r="M20" s="4"/>
    </row>
    <row r="21" spans="1:15" x14ac:dyDescent="0.25">
      <c r="A21" s="36"/>
      <c r="B21" s="35"/>
      <c r="C21" s="35"/>
      <c r="D21" s="35"/>
      <c r="E21" s="29"/>
      <c r="F21" s="29"/>
      <c r="G21" s="30"/>
      <c r="H21" s="2" t="s">
        <v>43</v>
      </c>
      <c r="I21" s="2" t="s">
        <v>48</v>
      </c>
      <c r="J21" s="2" t="s">
        <v>43</v>
      </c>
      <c r="K21" s="2" t="s">
        <v>2</v>
      </c>
      <c r="L21" s="4"/>
      <c r="M21" s="4"/>
    </row>
    <row r="22" spans="1:15" x14ac:dyDescent="0.25">
      <c r="A22" s="36"/>
      <c r="B22" s="35"/>
      <c r="C22" s="35"/>
      <c r="D22" s="35"/>
      <c r="E22" s="29"/>
      <c r="F22" s="29"/>
      <c r="G22" s="30"/>
      <c r="H22" s="3" t="s">
        <v>43</v>
      </c>
      <c r="I22" s="3" t="s">
        <v>49</v>
      </c>
      <c r="J22" s="3" t="s">
        <v>43</v>
      </c>
      <c r="K22" s="3" t="s">
        <v>3</v>
      </c>
      <c r="L22" s="4"/>
      <c r="M22" s="4"/>
    </row>
    <row r="23" spans="1:15" x14ac:dyDescent="0.25">
      <c r="A23" s="38"/>
      <c r="B23" s="39"/>
      <c r="C23" s="39"/>
      <c r="D23" s="39"/>
      <c r="E23" s="39" t="s">
        <v>34</v>
      </c>
      <c r="F23" s="40">
        <f>SUM(F17:F22)</f>
        <v>25194.6</v>
      </c>
      <c r="G23" s="41"/>
      <c r="H23" s="3"/>
      <c r="I23" s="3"/>
      <c r="J23" s="2" t="s">
        <v>43</v>
      </c>
      <c r="K23" s="2" t="s">
        <v>5</v>
      </c>
      <c r="L23" s="4"/>
      <c r="M23" s="4"/>
    </row>
    <row r="24" spans="1:15" x14ac:dyDescent="0.25">
      <c r="G24" s="41"/>
      <c r="H24" s="3"/>
      <c r="I24" s="3"/>
      <c r="J24" s="3" t="s">
        <v>43</v>
      </c>
      <c r="K24" s="3" t="s">
        <v>6</v>
      </c>
      <c r="L24" s="4"/>
      <c r="M24" s="4"/>
    </row>
    <row r="25" spans="1:15" x14ac:dyDescent="0.25">
      <c r="G25" s="41"/>
      <c r="H25" s="2" t="s">
        <v>45</v>
      </c>
      <c r="I25" s="2" t="s">
        <v>48</v>
      </c>
      <c r="J25" s="2" t="s">
        <v>45</v>
      </c>
      <c r="K25" s="2" t="s">
        <v>2</v>
      </c>
      <c r="L25" s="4"/>
      <c r="M25" s="4"/>
    </row>
    <row r="26" spans="1:15" x14ac:dyDescent="0.25">
      <c r="H26" s="3" t="s">
        <v>45</v>
      </c>
      <c r="I26" s="3" t="s">
        <v>49</v>
      </c>
      <c r="J26" s="3" t="s">
        <v>45</v>
      </c>
      <c r="K26" s="3" t="s">
        <v>3</v>
      </c>
      <c r="L26" s="4"/>
      <c r="M26" s="4"/>
    </row>
    <row r="27" spans="1:15" ht="14.25" customHeight="1" x14ac:dyDescent="0.25">
      <c r="B27" s="44" t="s">
        <v>35</v>
      </c>
      <c r="D27" s="44" t="s">
        <v>36</v>
      </c>
      <c r="F27" s="44" t="s">
        <v>37</v>
      </c>
      <c r="H27" s="2" t="s">
        <v>45</v>
      </c>
      <c r="I27" s="2" t="s">
        <v>5</v>
      </c>
      <c r="J27" s="2" t="s">
        <v>45</v>
      </c>
      <c r="K27" s="2" t="s">
        <v>10</v>
      </c>
    </row>
    <row r="28" spans="1:15" ht="72" customHeight="1" x14ac:dyDescent="0.25">
      <c r="B28" s="45"/>
      <c r="D28" s="45" t="str" cm="1">
        <f t="array" ref="D28:D29">IF(+_xlfn._xlws.FILTER($I$17:$I$28,$H$17:$H$28=$H$14)="","",_xlfn._xlws.FILTER($I$17:$I$28,$H$17:$H$28=$H$14))</f>
        <v xml:space="preserve">Thanapong Yacharn </v>
      </c>
      <c r="E28" s="45"/>
      <c r="F28" s="45" t="str" cm="1">
        <f t="array" ref="F28:F31">IF(+_xlfn._xlws.FILTER($K$17:$K$30,$J$17:$J$30=$H$14)="","",_xlfn._xlws.FILTER($K$17:$K$30,$J$17:$J$30=$H$14))</f>
        <v>Chairat Kongsuphamanon</v>
      </c>
      <c r="H28" s="3" t="s">
        <v>45</v>
      </c>
      <c r="I28" s="3" t="s">
        <v>6</v>
      </c>
      <c r="J28" s="3" t="s">
        <v>45</v>
      </c>
      <c r="K28" s="3" t="s">
        <v>11</v>
      </c>
      <c r="L28" s="45"/>
      <c r="M28" s="45"/>
      <c r="N28" s="45"/>
    </row>
    <row r="29" spans="1:15" s="50" customFormat="1" x14ac:dyDescent="0.25">
      <c r="A29" s="45"/>
      <c r="B29" s="45"/>
      <c r="C29" s="45"/>
      <c r="D29" s="49" t="str">
        <v>Sales Manager</v>
      </c>
      <c r="E29" s="49"/>
      <c r="F29" s="49" t="str">
        <v>Chief Executive Officer</v>
      </c>
      <c r="H29" s="2" t="s">
        <v>45</v>
      </c>
      <c r="I29" s="2"/>
      <c r="J29" s="2" t="s">
        <v>45</v>
      </c>
      <c r="K29" s="2" t="s">
        <v>13</v>
      </c>
      <c r="L29"/>
      <c r="M29"/>
      <c r="N29"/>
    </row>
    <row r="30" spans="1:15" ht="72" customHeight="1" x14ac:dyDescent="0.25">
      <c r="B30" s="45"/>
      <c r="D30" s="45"/>
      <c r="E30" s="45"/>
      <c r="F30" s="45" t="str">
        <v>Intu-on Morin</v>
      </c>
      <c r="H30" s="3" t="s">
        <v>45</v>
      </c>
      <c r="I30" s="3"/>
      <c r="J30" s="51" t="s">
        <v>45</v>
      </c>
      <c r="K30" s="52" t="s">
        <v>11</v>
      </c>
      <c r="L30" s="45"/>
      <c r="M30" s="45"/>
      <c r="N30" s="45"/>
    </row>
    <row r="31" spans="1:15" s="45" customFormat="1" x14ac:dyDescent="0.25">
      <c r="D31" s="49"/>
      <c r="F31" s="45" t="str">
        <v>Chief Financial Officer</v>
      </c>
      <c r="H31" s="2"/>
      <c r="I31" s="3"/>
      <c r="J31" s="2"/>
      <c r="K31" s="2"/>
      <c r="L31"/>
      <c r="M31"/>
      <c r="N31"/>
    </row>
    <row r="32" spans="1:15" ht="72" customHeight="1" x14ac:dyDescent="0.25">
      <c r="B32" s="45"/>
      <c r="D32" s="45"/>
      <c r="E32" s="45"/>
      <c r="F32" s="45"/>
      <c r="J32" s="45"/>
      <c r="K32" s="45"/>
      <c r="L32" s="45"/>
      <c r="M32" s="45"/>
      <c r="N32" s="45"/>
    </row>
    <row r="33" spans="1:14" s="45" customFormat="1" x14ac:dyDescent="0.25">
      <c r="H33"/>
      <c r="I33"/>
      <c r="J33"/>
      <c r="K33"/>
      <c r="L33"/>
      <c r="M33"/>
      <c r="N33"/>
    </row>
    <row r="34" spans="1:14" ht="72" customHeight="1" x14ac:dyDescent="0.25">
      <c r="A34" s="45"/>
      <c r="B34" s="45"/>
      <c r="C34" s="45"/>
      <c r="D34" s="45"/>
      <c r="E34" s="45"/>
      <c r="F34" s="45"/>
      <c r="J34" s="45"/>
      <c r="K34" s="45"/>
      <c r="L34" s="45"/>
      <c r="M34" s="45"/>
      <c r="N34" s="45"/>
    </row>
    <row r="35" spans="1:14" s="45" customFormat="1" x14ac:dyDescent="0.25">
      <c r="A35"/>
      <c r="B35"/>
      <c r="C35"/>
      <c r="J35"/>
      <c r="K35"/>
      <c r="L35"/>
      <c r="M35"/>
      <c r="N35"/>
    </row>
    <row r="36" spans="1:14" x14ac:dyDescent="0.25">
      <c r="A36" s="45"/>
      <c r="B36" s="45"/>
      <c r="C36" s="45"/>
      <c r="D36" s="45"/>
      <c r="E36" s="45"/>
      <c r="F36" s="45"/>
    </row>
    <row r="37" spans="1:14" x14ac:dyDescent="0.25">
      <c r="H37" s="45"/>
      <c r="I37" s="45"/>
    </row>
    <row r="39" spans="1:14" x14ac:dyDescent="0.25">
      <c r="H39" s="45"/>
      <c r="I39" s="45"/>
    </row>
  </sheetData>
  <pageMargins left="0.7" right="0.52083333333333337" top="0.75" bottom="0.75" header="0.3" footer="0.3"/>
  <pageSetup paperSize="9" scale="32" orientation="portrait" r:id="rId1"/>
  <headerFooter>
    <oddHeader xml:space="preserve">&amp;C&amp;"-,Bold"&amp;12CHAOSUA FOODS USA CORPORATION
3980 VALLEY BLVD STE F WALNUT, CA 91789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2BF1-617F-42D5-925C-F04BDB88581F}">
  <sheetPr>
    <pageSetUpPr fitToPage="1"/>
  </sheetPr>
  <dimension ref="A2:N37"/>
  <sheetViews>
    <sheetView showGridLines="0" showWhiteSpace="0" view="pageLayout" topLeftCell="A2" zoomScale="70" zoomScaleNormal="64" zoomScaleSheetLayoutView="100" zoomScalePageLayoutView="70" workbookViewId="0">
      <selection activeCell="K20" sqref="K20"/>
    </sheetView>
  </sheetViews>
  <sheetFormatPr defaultRowHeight="13.8" x14ac:dyDescent="0.25"/>
  <cols>
    <col min="1" max="1" width="5.3984375" customWidth="1"/>
    <col min="2" max="2" width="24" bestFit="1" customWidth="1"/>
    <col min="3" max="3" width="5.3984375" customWidth="1"/>
    <col min="4" max="4" width="24" bestFit="1" customWidth="1"/>
    <col min="5" max="5" width="5.3984375" customWidth="1"/>
    <col min="6" max="6" width="24" bestFit="1" customWidth="1"/>
    <col min="7" max="7" width="7.8984375" customWidth="1"/>
    <col min="8" max="8" width="12.69921875" bestFit="1" customWidth="1"/>
    <col min="9" max="9" width="24" customWidth="1"/>
    <col min="10" max="10" width="21.69921875" customWidth="1"/>
    <col min="11" max="11" width="24" bestFit="1" customWidth="1"/>
    <col min="12" max="12" width="5" bestFit="1" customWidth="1"/>
    <col min="13" max="13" width="13" bestFit="1" customWidth="1"/>
    <col min="14" max="14" width="9.3984375" bestFit="1" customWidth="1"/>
    <col min="15" max="15" width="7" bestFit="1" customWidth="1"/>
  </cols>
  <sheetData>
    <row r="2" spans="1:14" s="5" customFormat="1" ht="31.8" x14ac:dyDescent="0.5">
      <c r="A2" s="1" t="s">
        <v>0</v>
      </c>
      <c r="B2" s="1"/>
      <c r="C2" s="1"/>
      <c r="D2" s="1"/>
      <c r="E2" s="1"/>
      <c r="F2" s="1"/>
      <c r="G2" s="1"/>
      <c r="H2" s="2" t="s">
        <v>1</v>
      </c>
      <c r="I2" s="2" t="s">
        <v>2</v>
      </c>
      <c r="J2" s="3" t="s">
        <v>3</v>
      </c>
      <c r="K2" t="s">
        <v>1</v>
      </c>
      <c r="L2" s="4"/>
      <c r="M2" s="4"/>
    </row>
    <row r="3" spans="1:14" s="6" customFormat="1" x14ac:dyDescent="0.25">
      <c r="H3" s="2" t="s">
        <v>4</v>
      </c>
      <c r="I3" s="2" t="s">
        <v>5</v>
      </c>
      <c r="J3" s="3" t="s">
        <v>6</v>
      </c>
      <c r="K3" t="s">
        <v>4</v>
      </c>
      <c r="L3" s="4"/>
      <c r="M3" s="4"/>
    </row>
    <row r="4" spans="1:14" s="6" customFormat="1" x14ac:dyDescent="0.25">
      <c r="A4" s="7"/>
      <c r="B4" s="7"/>
      <c r="C4" s="7"/>
      <c r="D4" s="7"/>
      <c r="E4" s="7" t="s">
        <v>7</v>
      </c>
      <c r="F4" s="8" t="s">
        <v>8</v>
      </c>
      <c r="H4" s="2" t="s">
        <v>9</v>
      </c>
      <c r="I4" s="2" t="s">
        <v>10</v>
      </c>
      <c r="J4" s="3" t="s">
        <v>11</v>
      </c>
      <c r="K4" t="s">
        <v>9</v>
      </c>
      <c r="L4" s="4"/>
      <c r="M4" s="4"/>
    </row>
    <row r="5" spans="1:14" s="6" customFormat="1" x14ac:dyDescent="0.25">
      <c r="A5" s="7"/>
      <c r="B5" s="7"/>
      <c r="C5" s="7"/>
      <c r="D5" s="7"/>
      <c r="E5" s="7" t="s">
        <v>12</v>
      </c>
      <c r="F5" s="9">
        <v>45839</v>
      </c>
      <c r="H5" s="2" t="s">
        <v>9</v>
      </c>
      <c r="I5" s="2" t="s">
        <v>13</v>
      </c>
      <c r="J5" s="3" t="s">
        <v>11</v>
      </c>
      <c r="K5" t="s">
        <v>9</v>
      </c>
      <c r="L5" s="4"/>
      <c r="M5" s="4"/>
    </row>
    <row r="6" spans="1:14" s="6" customFormat="1" x14ac:dyDescent="0.25">
      <c r="H6" s="2" t="s">
        <v>9</v>
      </c>
      <c r="I6" s="2" t="s">
        <v>2</v>
      </c>
      <c r="J6" s="3" t="s">
        <v>3</v>
      </c>
      <c r="K6" t="s">
        <v>9</v>
      </c>
      <c r="L6" s="4"/>
      <c r="M6" s="4"/>
    </row>
    <row r="7" spans="1:14" s="6" customFormat="1" x14ac:dyDescent="0.25">
      <c r="A7" s="6" t="s">
        <v>14</v>
      </c>
      <c r="H7" s="6" t="s">
        <v>15</v>
      </c>
      <c r="J7"/>
      <c r="K7"/>
      <c r="L7"/>
      <c r="M7" s="4"/>
    </row>
    <row r="8" spans="1:14" s="6" customFormat="1" x14ac:dyDescent="0.25">
      <c r="H8" s="10" t="s">
        <v>16</v>
      </c>
      <c r="I8" s="10" t="s">
        <v>17</v>
      </c>
      <c r="J8" s="10" t="s">
        <v>18</v>
      </c>
      <c r="K8" s="10" t="s">
        <v>9</v>
      </c>
      <c r="L8" s="10" t="s">
        <v>19</v>
      </c>
      <c r="M8" s="11" t="s">
        <v>4</v>
      </c>
      <c r="N8" s="11" t="s">
        <v>20</v>
      </c>
    </row>
    <row r="9" spans="1:14" s="6" customFormat="1" x14ac:dyDescent="0.25">
      <c r="H9" s="12" t="s">
        <v>21</v>
      </c>
      <c r="I9" s="13">
        <v>1</v>
      </c>
      <c r="J9" s="13">
        <v>5000</v>
      </c>
      <c r="K9" s="10"/>
      <c r="L9" s="10" t="s">
        <v>22</v>
      </c>
      <c r="M9" s="10" t="s">
        <v>22</v>
      </c>
      <c r="N9" s="10" t="s">
        <v>22</v>
      </c>
    </row>
    <row r="10" spans="1:14" s="6" customFormat="1" x14ac:dyDescent="0.25">
      <c r="A10" s="6" t="s">
        <v>23</v>
      </c>
      <c r="H10" s="14" t="s">
        <v>24</v>
      </c>
      <c r="I10" s="13">
        <v>5001</v>
      </c>
      <c r="J10" s="13"/>
      <c r="K10" s="10" t="s">
        <v>22</v>
      </c>
      <c r="L10" s="10" t="s">
        <v>22</v>
      </c>
      <c r="M10" s="11" t="s">
        <v>25</v>
      </c>
      <c r="N10" s="11"/>
    </row>
    <row r="11" spans="1:14" s="6" customFormat="1" x14ac:dyDescent="0.25">
      <c r="A11" s="15"/>
      <c r="B11" s="15" t="s">
        <v>26</v>
      </c>
      <c r="C11" s="16"/>
      <c r="D11" s="15"/>
      <c r="E11" s="15"/>
      <c r="F11" s="15"/>
      <c r="H11" s="14"/>
      <c r="I11" s="13"/>
      <c r="J11" s="13"/>
      <c r="K11" s="10"/>
      <c r="L11" s="10"/>
      <c r="M11" s="11"/>
      <c r="N11" s="11"/>
    </row>
    <row r="12" spans="1:14" s="6" customFormat="1" x14ac:dyDescent="0.25">
      <c r="A12" s="15"/>
      <c r="B12" s="15"/>
      <c r="C12" s="16"/>
      <c r="D12" s="15"/>
      <c r="E12" s="15"/>
      <c r="F12" s="15"/>
      <c r="H12" s="14"/>
      <c r="I12" s="13"/>
      <c r="J12" s="13"/>
      <c r="K12" s="10"/>
      <c r="L12" s="10"/>
      <c r="M12" s="11"/>
      <c r="N12" s="11"/>
    </row>
    <row r="13" spans="1:14" s="6" customFormat="1" x14ac:dyDescent="0.25">
      <c r="A13" s="17"/>
      <c r="B13" s="17"/>
      <c r="C13" s="17"/>
      <c r="D13" s="17"/>
      <c r="E13" s="17"/>
      <c r="F13" s="17"/>
      <c r="H13"/>
      <c r="I13" s="4"/>
      <c r="J13" s="4"/>
      <c r="K13" s="18"/>
      <c r="L13" s="18"/>
      <c r="M13" s="19"/>
    </row>
    <row r="14" spans="1:14" s="6" customFormat="1" x14ac:dyDescent="0.25">
      <c r="A14" s="17"/>
      <c r="B14" s="17"/>
      <c r="C14" s="17"/>
      <c r="D14" s="17"/>
      <c r="E14" s="17"/>
      <c r="F14" s="17"/>
      <c r="H14" s="20" t="str">
        <f>+LOOKUP(F23,I9:J12,H9:H12)</f>
        <v>P100</v>
      </c>
      <c r="I14"/>
      <c r="J14"/>
      <c r="K14"/>
      <c r="L14"/>
      <c r="M14" s="4"/>
    </row>
    <row r="15" spans="1:14" s="6" customFormat="1" x14ac:dyDescent="0.25">
      <c r="H15" s="21"/>
      <c r="I15"/>
      <c r="J15"/>
      <c r="K15"/>
      <c r="L15" s="4"/>
      <c r="M15" s="4"/>
    </row>
    <row r="16" spans="1:14" s="18" customFormat="1" ht="41.4" x14ac:dyDescent="0.25">
      <c r="A16" s="22" t="s">
        <v>27</v>
      </c>
      <c r="B16" s="23" t="s">
        <v>28</v>
      </c>
      <c r="C16" s="23"/>
      <c r="D16" s="23"/>
      <c r="E16" s="23"/>
      <c r="F16" s="23" t="s">
        <v>29</v>
      </c>
      <c r="G16" s="24"/>
      <c r="H16" s="25" t="s">
        <v>25</v>
      </c>
      <c r="I16" s="25" t="s">
        <v>30</v>
      </c>
      <c r="J16" s="26" t="s">
        <v>31</v>
      </c>
      <c r="K16" s="26" t="s">
        <v>22</v>
      </c>
      <c r="L16" s="4"/>
      <c r="M16" s="4"/>
    </row>
    <row r="17" spans="1:13" x14ac:dyDescent="0.25">
      <c r="A17" s="2">
        <v>1</v>
      </c>
      <c r="B17" s="27" t="s">
        <v>32</v>
      </c>
      <c r="C17" s="27"/>
      <c r="D17" s="27"/>
      <c r="E17" s="28"/>
      <c r="F17" s="29">
        <v>5000</v>
      </c>
      <c r="G17" s="30"/>
      <c r="H17" s="31" t="s">
        <v>21</v>
      </c>
      <c r="I17" s="32"/>
      <c r="J17" s="31" t="s">
        <v>21</v>
      </c>
      <c r="K17" s="33" t="s">
        <v>2</v>
      </c>
      <c r="L17" s="4"/>
      <c r="M17" s="4"/>
    </row>
    <row r="18" spans="1:13" x14ac:dyDescent="0.25">
      <c r="A18" s="2"/>
      <c r="B18" s="27"/>
      <c r="C18" s="27"/>
      <c r="D18" s="27"/>
      <c r="E18" s="28"/>
      <c r="F18" s="29"/>
      <c r="G18" s="30"/>
      <c r="H18" s="34" t="s">
        <v>21</v>
      </c>
      <c r="I18" s="34" t="s">
        <v>33</v>
      </c>
      <c r="J18" s="34" t="s">
        <v>21</v>
      </c>
      <c r="K18" s="34" t="s">
        <v>3</v>
      </c>
      <c r="L18" s="4"/>
      <c r="M18" s="4"/>
    </row>
    <row r="19" spans="1:13" x14ac:dyDescent="0.25">
      <c r="A19" s="2"/>
      <c r="B19" s="27"/>
      <c r="C19" s="35"/>
      <c r="D19" s="35"/>
      <c r="E19" s="29"/>
      <c r="F19" s="29"/>
      <c r="G19" s="30"/>
      <c r="H19" s="31" t="s">
        <v>21</v>
      </c>
      <c r="I19" s="31"/>
      <c r="J19" s="31" t="s">
        <v>21</v>
      </c>
      <c r="K19" s="31" t="s">
        <v>5</v>
      </c>
      <c r="L19" s="4"/>
      <c r="M19" s="4"/>
    </row>
    <row r="20" spans="1:13" x14ac:dyDescent="0.25">
      <c r="A20" s="2"/>
      <c r="B20" s="27"/>
      <c r="C20" s="35"/>
      <c r="D20" s="27"/>
      <c r="E20" s="29"/>
      <c r="F20" s="29"/>
      <c r="G20" s="30"/>
      <c r="H20" s="34" t="s">
        <v>21</v>
      </c>
      <c r="I20" s="34"/>
      <c r="J20" s="34" t="s">
        <v>21</v>
      </c>
      <c r="K20" s="34" t="s">
        <v>6</v>
      </c>
      <c r="L20" s="4"/>
      <c r="M20" s="4"/>
    </row>
    <row r="21" spans="1:13" x14ac:dyDescent="0.25">
      <c r="A21" s="36"/>
      <c r="B21" s="35"/>
      <c r="C21" s="35"/>
      <c r="D21" s="35"/>
      <c r="E21" s="29"/>
      <c r="F21" s="29"/>
      <c r="G21" s="30"/>
      <c r="H21" s="37" t="s">
        <v>21</v>
      </c>
      <c r="I21" s="37"/>
      <c r="J21" s="37" t="s">
        <v>21</v>
      </c>
      <c r="K21" s="37"/>
      <c r="L21" s="4"/>
      <c r="M21" s="4"/>
    </row>
    <row r="22" spans="1:13" x14ac:dyDescent="0.25">
      <c r="A22" s="36"/>
      <c r="B22" s="35"/>
      <c r="C22" s="35"/>
      <c r="D22" s="35"/>
      <c r="E22" s="29"/>
      <c r="F22" s="29"/>
      <c r="G22" s="30"/>
      <c r="H22" s="34" t="s">
        <v>21</v>
      </c>
      <c r="I22" s="34"/>
      <c r="J22" s="34" t="s">
        <v>21</v>
      </c>
      <c r="K22" s="34"/>
      <c r="L22" s="4"/>
      <c r="M22" s="4"/>
    </row>
    <row r="23" spans="1:13" x14ac:dyDescent="0.25">
      <c r="A23" s="38"/>
      <c r="B23" s="39"/>
      <c r="C23" s="39"/>
      <c r="D23" s="39"/>
      <c r="E23" s="39" t="s">
        <v>34</v>
      </c>
      <c r="F23" s="40">
        <f>SUM(F17:F22)</f>
        <v>5000</v>
      </c>
      <c r="G23" s="41"/>
      <c r="H23" s="31" t="s">
        <v>24</v>
      </c>
      <c r="I23" s="32" t="s">
        <v>5</v>
      </c>
      <c r="J23" s="37" t="s">
        <v>24</v>
      </c>
      <c r="K23" s="37" t="s">
        <v>2</v>
      </c>
      <c r="L23" s="4"/>
      <c r="M23" s="4"/>
    </row>
    <row r="24" spans="1:13" x14ac:dyDescent="0.25">
      <c r="G24" s="41"/>
      <c r="H24" s="34" t="s">
        <v>24</v>
      </c>
      <c r="I24" s="34" t="str">
        <f>+VLOOKUP(I23,$I$2:$K$6,2,0)</f>
        <v>Chief Financial Officer</v>
      </c>
      <c r="J24" s="42" t="s">
        <v>24</v>
      </c>
      <c r="K24" s="43" t="str">
        <f>+VLOOKUP($K23,$I$2:$K$6,2,0)</f>
        <v>Chief Executive Officer</v>
      </c>
      <c r="L24" s="4"/>
      <c r="M24" s="4"/>
    </row>
    <row r="25" spans="1:13" x14ac:dyDescent="0.25">
      <c r="G25" s="41"/>
      <c r="H25" s="31" t="s">
        <v>24</v>
      </c>
      <c r="I25" s="32"/>
      <c r="J25" s="31" t="s">
        <v>24</v>
      </c>
      <c r="K25" s="31" t="s">
        <v>10</v>
      </c>
      <c r="L25" s="4"/>
      <c r="M25" s="4"/>
    </row>
    <row r="26" spans="1:13" x14ac:dyDescent="0.25">
      <c r="H26" s="34" t="s">
        <v>24</v>
      </c>
      <c r="I26" s="34" t="str">
        <f>IFERROR(+VLOOKUP(I25,$I$2:$K$6,2,0),"")</f>
        <v/>
      </c>
      <c r="J26" s="34" t="s">
        <v>24</v>
      </c>
      <c r="K26" s="34" t="str">
        <f>+VLOOKUP($K25,$I$2:$K$6,2,0)</f>
        <v xml:space="preserve">Directors </v>
      </c>
      <c r="L26" s="4"/>
      <c r="M26" s="4"/>
    </row>
    <row r="27" spans="1:13" ht="14.25" customHeight="1" x14ac:dyDescent="0.25">
      <c r="B27" s="44" t="s">
        <v>35</v>
      </c>
      <c r="D27" s="44" t="s">
        <v>36</v>
      </c>
      <c r="F27" s="44" t="s">
        <v>37</v>
      </c>
      <c r="H27" s="31" t="s">
        <v>24</v>
      </c>
      <c r="I27" s="32"/>
      <c r="J27" s="31" t="s">
        <v>24</v>
      </c>
      <c r="K27" s="31" t="s">
        <v>13</v>
      </c>
    </row>
    <row r="28" spans="1:13" ht="72.75" customHeight="1" x14ac:dyDescent="0.25">
      <c r="B28" s="45"/>
      <c r="D28" s="45" t="str" cm="1">
        <f t="array" ref="D28:D33">IF(+_xlfn._xlws.FILTER($I$17:$I$26,$H$17:$H$26=$H$14)="","",_xlfn._xlws.FILTER($I$17:$I$26,$H$17:$H$26=$H$14))</f>
        <v/>
      </c>
      <c r="F28" s="45" t="str" cm="1">
        <f t="array" ref="F28:F33">IF(+_xlfn._xlws.FILTER($K$17:$K$30,$J$17:$J$30=$H$14)="","",_xlfn._xlws.FILTER($K$17:$K$30,$J$17:$J$30=$H$14))</f>
        <v>Chairat Kongsuphamanon</v>
      </c>
      <c r="H28" s="34" t="s">
        <v>24</v>
      </c>
      <c r="I28" s="34" t="str">
        <f>IFERROR(+VLOOKUP(I27,$I$2:$K$6,2,0),"")</f>
        <v/>
      </c>
      <c r="J28" s="34" t="s">
        <v>24</v>
      </c>
      <c r="K28" s="34" t="str">
        <f>+VLOOKUP($K27,$I$2:$K$6,2,0)</f>
        <v xml:space="preserve">Directors </v>
      </c>
      <c r="L28" s="45"/>
      <c r="M28" s="45"/>
    </row>
    <row r="29" spans="1:13" s="45" customFormat="1" x14ac:dyDescent="0.25">
      <c r="D29" s="45" t="str">
        <v>Admin</v>
      </c>
      <c r="F29" s="45" t="str">
        <v>Chief Executive Officer</v>
      </c>
      <c r="J29"/>
      <c r="K29"/>
      <c r="L29"/>
      <c r="M29"/>
    </row>
    <row r="30" spans="1:13" ht="72.75" customHeight="1" x14ac:dyDescent="0.25">
      <c r="B30" s="45"/>
      <c r="D30" s="45" t="str">
        <v/>
      </c>
      <c r="F30" s="45" t="str">
        <v>Intu-on Morin</v>
      </c>
      <c r="J30" s="45"/>
      <c r="K30" s="45"/>
      <c r="L30" s="45"/>
      <c r="M30" s="45"/>
    </row>
    <row r="31" spans="1:13" s="45" customFormat="1" x14ac:dyDescent="0.25">
      <c r="D31" s="45" t="str">
        <v/>
      </c>
      <c r="F31" s="45" t="str">
        <v>Chief Financial Officer</v>
      </c>
      <c r="J31"/>
      <c r="K31"/>
      <c r="L31"/>
      <c r="M31"/>
    </row>
    <row r="32" spans="1:13" ht="72.75" customHeight="1" x14ac:dyDescent="0.25">
      <c r="B32" s="45"/>
      <c r="D32" s="45" t="str">
        <v/>
      </c>
      <c r="F32" s="45" t="str">
        <v/>
      </c>
      <c r="J32" s="45"/>
      <c r="K32" s="45"/>
      <c r="L32" s="45"/>
      <c r="M32" s="45"/>
    </row>
    <row r="33" spans="1:13" s="45" customFormat="1" x14ac:dyDescent="0.25">
      <c r="D33" s="45" t="str">
        <v/>
      </c>
      <c r="F33" s="45" t="str">
        <v/>
      </c>
      <c r="J33"/>
      <c r="K33"/>
      <c r="L33"/>
      <c r="M33"/>
    </row>
    <row r="34" spans="1:13" s="45" customFormat="1" x14ac:dyDescent="0.25">
      <c r="J34"/>
      <c r="K34"/>
      <c r="L34"/>
      <c r="M34"/>
    </row>
    <row r="35" spans="1:13" s="45" customFormat="1" x14ac:dyDescent="0.25">
      <c r="A35"/>
      <c r="B35"/>
      <c r="C35"/>
      <c r="D35"/>
      <c r="E35"/>
      <c r="F35"/>
      <c r="J35"/>
      <c r="K35"/>
      <c r="L35"/>
      <c r="M35"/>
    </row>
    <row r="36" spans="1:13" s="45" customFormat="1" x14ac:dyDescent="0.25">
      <c r="J36"/>
      <c r="K36"/>
      <c r="L36"/>
      <c r="M36"/>
    </row>
    <row r="37" spans="1:13" s="45" customFormat="1" x14ac:dyDescent="0.25">
      <c r="A37"/>
      <c r="B37"/>
      <c r="C37"/>
      <c r="D37"/>
      <c r="E37"/>
      <c r="F37"/>
      <c r="J37"/>
      <c r="K37"/>
      <c r="L37"/>
      <c r="M37"/>
    </row>
  </sheetData>
  <pageMargins left="0.7" right="0.52083333333333337" top="0.75" bottom="0.75" header="0.3" footer="0.3"/>
  <pageSetup paperSize="9" scale="31" orientation="portrait" r:id="rId1"/>
  <headerFooter>
    <oddHeader xml:space="preserve">&amp;C&amp;"-,Bold"&amp;12CHAOSUA FOODS USA CORPORATION
3980 VALLEY BLVD STE F WALNUT, CA 91789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4200-B78B-4BF9-897E-695CE4DE34E5}">
  <sheetPr>
    <pageSetUpPr fitToPage="1"/>
  </sheetPr>
  <dimension ref="A2:O39"/>
  <sheetViews>
    <sheetView showGridLines="0" showWhiteSpace="0" view="pageLayout" topLeftCell="A7" zoomScale="85" zoomScaleNormal="100" zoomScaleSheetLayoutView="100" zoomScalePageLayoutView="85" workbookViewId="0">
      <selection activeCell="H17" sqref="H17:K20"/>
    </sheetView>
  </sheetViews>
  <sheetFormatPr defaultRowHeight="13.8" x14ac:dyDescent="0.25"/>
  <cols>
    <col min="1" max="1" width="5.3984375" customWidth="1"/>
    <col min="2" max="2" width="24" bestFit="1" customWidth="1"/>
    <col min="3" max="3" width="5.3984375" customWidth="1"/>
    <col min="4" max="4" width="24" bestFit="1" customWidth="1"/>
    <col min="5" max="5" width="5.3984375" customWidth="1"/>
    <col min="6" max="6" width="24" bestFit="1" customWidth="1"/>
    <col min="7" max="7" width="7.8984375" customWidth="1"/>
    <col min="8" max="8" width="12.69921875" bestFit="1" customWidth="1"/>
    <col min="9" max="9" width="24" customWidth="1"/>
    <col min="10" max="10" width="21.69921875" bestFit="1" customWidth="1"/>
    <col min="11" max="11" width="24" bestFit="1" customWidth="1"/>
    <col min="12" max="12" width="5" bestFit="1" customWidth="1"/>
    <col min="13" max="13" width="6" bestFit="1" customWidth="1"/>
    <col min="14" max="14" width="14.3984375" bestFit="1" customWidth="1"/>
    <col min="16" max="16" width="11.59765625" bestFit="1" customWidth="1"/>
    <col min="17" max="17" width="10.59765625" bestFit="1" customWidth="1"/>
    <col min="21" max="21" width="14.3984375" bestFit="1" customWidth="1"/>
  </cols>
  <sheetData>
    <row r="2" spans="1:15" s="5" customFormat="1" ht="31.8" x14ac:dyDescent="0.5">
      <c r="A2" s="1" t="s">
        <v>0</v>
      </c>
      <c r="B2" s="1"/>
      <c r="C2" s="1"/>
      <c r="D2" s="1"/>
      <c r="E2" s="1"/>
      <c r="F2" s="1"/>
      <c r="G2" s="1"/>
      <c r="H2" s="2" t="s">
        <v>1</v>
      </c>
      <c r="I2" s="2" t="s">
        <v>2</v>
      </c>
      <c r="J2" s="3" t="s">
        <v>3</v>
      </c>
      <c r="K2"/>
      <c r="L2" s="4"/>
      <c r="M2" s="4"/>
      <c r="N2"/>
    </row>
    <row r="3" spans="1:15" s="6" customFormat="1" x14ac:dyDescent="0.25">
      <c r="H3" s="2" t="s">
        <v>4</v>
      </c>
      <c r="I3" s="2" t="s">
        <v>5</v>
      </c>
      <c r="J3" s="3" t="s">
        <v>6</v>
      </c>
      <c r="K3"/>
      <c r="L3" s="4"/>
      <c r="M3" s="4"/>
      <c r="N3"/>
    </row>
    <row r="4" spans="1:15" s="6" customFormat="1" x14ac:dyDescent="0.25">
      <c r="A4" s="7"/>
      <c r="B4" s="7"/>
      <c r="C4" s="7"/>
      <c r="D4" s="7"/>
      <c r="E4" s="7" t="s">
        <v>7</v>
      </c>
      <c r="F4" s="8" t="s">
        <v>38</v>
      </c>
      <c r="H4" s="2" t="s">
        <v>9</v>
      </c>
      <c r="I4" s="2" t="s">
        <v>10</v>
      </c>
      <c r="J4" s="3" t="s">
        <v>11</v>
      </c>
      <c r="K4"/>
      <c r="L4" s="4"/>
      <c r="M4" s="4"/>
      <c r="N4"/>
    </row>
    <row r="5" spans="1:15" s="6" customFormat="1" x14ac:dyDescent="0.25">
      <c r="A5" s="7"/>
      <c r="B5" s="7"/>
      <c r="C5" s="7"/>
      <c r="D5" s="7"/>
      <c r="E5" s="7" t="s">
        <v>12</v>
      </c>
      <c r="F5" s="46">
        <v>45824</v>
      </c>
      <c r="H5" s="2" t="s">
        <v>9</v>
      </c>
      <c r="I5" s="2" t="s">
        <v>13</v>
      </c>
      <c r="J5" s="3" t="s">
        <v>11</v>
      </c>
      <c r="K5"/>
      <c r="L5" s="4"/>
      <c r="M5" s="4"/>
      <c r="N5"/>
    </row>
    <row r="6" spans="1:15" s="6" customFormat="1" x14ac:dyDescent="0.25">
      <c r="H6"/>
      <c r="I6"/>
      <c r="J6"/>
      <c r="K6"/>
      <c r="L6" s="4"/>
      <c r="M6" s="4"/>
      <c r="N6"/>
    </row>
    <row r="7" spans="1:15" s="6" customFormat="1" x14ac:dyDescent="0.25">
      <c r="A7" s="6" t="s">
        <v>39</v>
      </c>
      <c r="H7" s="6" t="s">
        <v>40</v>
      </c>
      <c r="J7"/>
      <c r="K7"/>
      <c r="L7"/>
      <c r="M7" s="4"/>
      <c r="N7" s="4"/>
    </row>
    <row r="8" spans="1:15" s="6" customFormat="1" x14ac:dyDescent="0.25">
      <c r="H8" s="10" t="s">
        <v>16</v>
      </c>
      <c r="I8" s="10" t="s">
        <v>17</v>
      </c>
      <c r="J8" s="10" t="s">
        <v>18</v>
      </c>
      <c r="K8" s="10" t="s">
        <v>9</v>
      </c>
      <c r="L8" s="10" t="s">
        <v>19</v>
      </c>
      <c r="M8" s="11" t="s">
        <v>4</v>
      </c>
      <c r="N8" s="11" t="s">
        <v>41</v>
      </c>
      <c r="O8" s="10" t="s">
        <v>20</v>
      </c>
    </row>
    <row r="9" spans="1:15" s="6" customFormat="1" x14ac:dyDescent="0.25">
      <c r="H9" s="12" t="s">
        <v>42</v>
      </c>
      <c r="I9" s="13">
        <v>1</v>
      </c>
      <c r="J9" s="13">
        <v>500</v>
      </c>
      <c r="K9" s="10"/>
      <c r="L9" s="10"/>
      <c r="M9" s="10" t="s">
        <v>22</v>
      </c>
      <c r="N9" s="11" t="s">
        <v>22</v>
      </c>
      <c r="O9" s="11" t="s">
        <v>25</v>
      </c>
    </row>
    <row r="10" spans="1:15" s="6" customFormat="1" x14ac:dyDescent="0.25">
      <c r="A10" s="6" t="s">
        <v>23</v>
      </c>
      <c r="H10" s="14" t="s">
        <v>43</v>
      </c>
      <c r="I10" s="13">
        <v>501</v>
      </c>
      <c r="J10" s="13">
        <v>10000</v>
      </c>
      <c r="K10" s="10"/>
      <c r="L10" s="10" t="s">
        <v>22</v>
      </c>
      <c r="M10" s="11" t="s">
        <v>22</v>
      </c>
      <c r="N10" s="11" t="s">
        <v>25</v>
      </c>
      <c r="O10" s="2"/>
    </row>
    <row r="11" spans="1:15" s="6" customFormat="1" x14ac:dyDescent="0.25">
      <c r="A11" s="15"/>
      <c r="B11" s="15" t="s">
        <v>44</v>
      </c>
      <c r="C11" s="15"/>
      <c r="D11" s="16"/>
      <c r="E11" s="15"/>
      <c r="F11" s="15"/>
      <c r="H11" s="14" t="s">
        <v>45</v>
      </c>
      <c r="I11" s="13">
        <v>10001</v>
      </c>
      <c r="J11" s="13"/>
      <c r="K11" s="10" t="s">
        <v>22</v>
      </c>
      <c r="L11" s="10" t="s">
        <v>25</v>
      </c>
      <c r="M11" s="11" t="s">
        <v>25</v>
      </c>
      <c r="N11" s="11" t="s">
        <v>25</v>
      </c>
      <c r="O11" s="2"/>
    </row>
    <row r="12" spans="1:15" s="6" customFormat="1" x14ac:dyDescent="0.25">
      <c r="A12" s="15"/>
      <c r="B12" s="15"/>
      <c r="C12" s="15"/>
      <c r="D12" s="15"/>
      <c r="E12" s="15"/>
      <c r="F12" s="15"/>
      <c r="H12" s="14"/>
      <c r="I12" s="13"/>
      <c r="J12" s="13"/>
      <c r="K12" s="10"/>
      <c r="L12" s="10"/>
      <c r="M12" s="11"/>
      <c r="N12" s="11"/>
      <c r="O12" s="2"/>
    </row>
    <row r="13" spans="1:15" s="6" customFormat="1" x14ac:dyDescent="0.25">
      <c r="A13" s="17"/>
      <c r="B13" s="17"/>
      <c r="C13" s="17"/>
      <c r="D13" s="17"/>
      <c r="E13" s="17"/>
      <c r="F13" s="17"/>
      <c r="H13"/>
      <c r="I13" s="4"/>
      <c r="J13" s="4"/>
      <c r="K13" s="18"/>
      <c r="L13" s="18"/>
      <c r="M13" s="19"/>
      <c r="N13"/>
    </row>
    <row r="14" spans="1:15" s="6" customFormat="1" x14ac:dyDescent="0.25">
      <c r="A14" s="17"/>
      <c r="B14" s="17"/>
      <c r="C14" s="17"/>
      <c r="D14" s="17"/>
      <c r="E14" s="17"/>
      <c r="F14" s="17"/>
      <c r="H14" s="20" t="str">
        <f>+LOOKUP(F23,I9:J11,H9:H11)</f>
        <v>S200</v>
      </c>
      <c r="I14"/>
      <c r="J14"/>
      <c r="K14"/>
      <c r="L14"/>
      <c r="M14" s="4"/>
      <c r="N14" s="4"/>
    </row>
    <row r="15" spans="1:15" s="6" customFormat="1" x14ac:dyDescent="0.25">
      <c r="H15" s="21"/>
      <c r="I15"/>
      <c r="J15"/>
      <c r="K15"/>
      <c r="L15" s="4"/>
      <c r="M15" s="4"/>
      <c r="N15"/>
    </row>
    <row r="16" spans="1:15" s="18" customFormat="1" ht="41.4" x14ac:dyDescent="0.25">
      <c r="A16" s="22" t="s">
        <v>27</v>
      </c>
      <c r="B16" s="23" t="s">
        <v>28</v>
      </c>
      <c r="C16" s="23"/>
      <c r="D16" s="23"/>
      <c r="E16" s="23"/>
      <c r="F16" s="23" t="s">
        <v>29</v>
      </c>
      <c r="G16" s="24"/>
      <c r="H16" s="25" t="s">
        <v>25</v>
      </c>
      <c r="I16" s="25" t="s">
        <v>30</v>
      </c>
      <c r="J16" s="26" t="s">
        <v>22</v>
      </c>
      <c r="K16" s="26" t="s">
        <v>31</v>
      </c>
      <c r="L16" s="4"/>
      <c r="M16" s="4"/>
      <c r="N16"/>
      <c r="O16" s="6"/>
    </row>
    <row r="17" spans="1:15" x14ac:dyDescent="0.25">
      <c r="A17" s="2">
        <v>1</v>
      </c>
      <c r="B17" s="27" t="s">
        <v>46</v>
      </c>
      <c r="C17" s="27"/>
      <c r="D17" s="27"/>
      <c r="E17" s="28"/>
      <c r="F17" s="29">
        <v>3098.82</v>
      </c>
      <c r="G17" s="30"/>
      <c r="H17" s="2" t="s">
        <v>42</v>
      </c>
      <c r="I17" s="47" t="s">
        <v>47</v>
      </c>
      <c r="J17" s="48" t="s">
        <v>42</v>
      </c>
      <c r="K17" s="2" t="s">
        <v>48</v>
      </c>
      <c r="L17" s="4"/>
      <c r="M17" s="4"/>
      <c r="O17" s="18"/>
    </row>
    <row r="18" spans="1:15" x14ac:dyDescent="0.25">
      <c r="A18" s="2"/>
      <c r="B18" s="27"/>
      <c r="C18" s="27"/>
      <c r="D18" s="27"/>
      <c r="E18" s="28"/>
      <c r="F18" s="29"/>
      <c r="G18" s="30"/>
      <c r="H18" s="3" t="s">
        <v>42</v>
      </c>
      <c r="I18" s="3" t="s">
        <v>33</v>
      </c>
      <c r="J18" s="3" t="s">
        <v>42</v>
      </c>
      <c r="K18" s="3" t="s">
        <v>49</v>
      </c>
      <c r="L18" s="4"/>
      <c r="M18" s="4"/>
    </row>
    <row r="19" spans="1:15" x14ac:dyDescent="0.25">
      <c r="A19" s="2"/>
      <c r="B19" s="27"/>
      <c r="C19" s="35"/>
      <c r="D19" s="35"/>
      <c r="E19" s="29"/>
      <c r="F19" s="29"/>
      <c r="G19" s="30"/>
      <c r="H19" s="3"/>
      <c r="I19" s="3"/>
      <c r="J19" s="48" t="s">
        <v>42</v>
      </c>
      <c r="K19" s="2" t="s">
        <v>5</v>
      </c>
      <c r="L19" s="4"/>
      <c r="M19" s="4"/>
    </row>
    <row r="20" spans="1:15" x14ac:dyDescent="0.25">
      <c r="A20" s="2"/>
      <c r="B20" s="27"/>
      <c r="C20" s="35"/>
      <c r="D20" s="27"/>
      <c r="E20" s="29"/>
      <c r="F20" s="29"/>
      <c r="G20" s="30"/>
      <c r="H20" s="3"/>
      <c r="I20" s="3"/>
      <c r="J20" s="3" t="s">
        <v>42</v>
      </c>
      <c r="K20" s="3" t="s">
        <v>6</v>
      </c>
      <c r="L20" s="4"/>
      <c r="M20" s="4"/>
    </row>
    <row r="21" spans="1:15" x14ac:dyDescent="0.25">
      <c r="A21" s="36"/>
      <c r="B21" s="35"/>
      <c r="C21" s="35"/>
      <c r="D21" s="35"/>
      <c r="E21" s="29"/>
      <c r="F21" s="29"/>
      <c r="G21" s="30"/>
      <c r="H21" s="2" t="s">
        <v>43</v>
      </c>
      <c r="I21" s="2" t="s">
        <v>48</v>
      </c>
      <c r="J21" s="2" t="s">
        <v>43</v>
      </c>
      <c r="K21" s="2" t="s">
        <v>2</v>
      </c>
      <c r="L21" s="4"/>
      <c r="M21" s="4"/>
    </row>
    <row r="22" spans="1:15" x14ac:dyDescent="0.25">
      <c r="A22" s="36"/>
      <c r="B22" s="35"/>
      <c r="C22" s="35"/>
      <c r="D22" s="35"/>
      <c r="E22" s="29"/>
      <c r="F22" s="29"/>
      <c r="G22" s="30"/>
      <c r="H22" s="3" t="s">
        <v>43</v>
      </c>
      <c r="I22" s="3" t="s">
        <v>49</v>
      </c>
      <c r="J22" s="3" t="s">
        <v>43</v>
      </c>
      <c r="K22" s="3" t="s">
        <v>3</v>
      </c>
      <c r="L22" s="4"/>
      <c r="M22" s="4"/>
    </row>
    <row r="23" spans="1:15" x14ac:dyDescent="0.25">
      <c r="A23" s="38"/>
      <c r="B23" s="39"/>
      <c r="C23" s="39"/>
      <c r="D23" s="39"/>
      <c r="E23" s="39" t="s">
        <v>34</v>
      </c>
      <c r="F23" s="40">
        <f>SUM(F17:F22)</f>
        <v>3098.82</v>
      </c>
      <c r="G23" s="41"/>
      <c r="H23" s="3"/>
      <c r="I23" s="3"/>
      <c r="J23" s="2" t="s">
        <v>43</v>
      </c>
      <c r="K23" s="2" t="s">
        <v>5</v>
      </c>
      <c r="L23" s="4"/>
      <c r="M23" s="4"/>
    </row>
    <row r="24" spans="1:15" x14ac:dyDescent="0.25">
      <c r="G24" s="41"/>
      <c r="H24" s="3"/>
      <c r="I24" s="3"/>
      <c r="J24" s="3" t="s">
        <v>43</v>
      </c>
      <c r="K24" s="3" t="s">
        <v>6</v>
      </c>
      <c r="L24" s="4"/>
      <c r="M24" s="4"/>
    </row>
    <row r="25" spans="1:15" x14ac:dyDescent="0.25">
      <c r="G25" s="41"/>
      <c r="H25" s="2" t="s">
        <v>45</v>
      </c>
      <c r="I25" s="2" t="s">
        <v>48</v>
      </c>
      <c r="J25" s="2" t="s">
        <v>45</v>
      </c>
      <c r="K25" s="2" t="s">
        <v>2</v>
      </c>
      <c r="L25" s="4"/>
      <c r="M25" s="4"/>
    </row>
    <row r="26" spans="1:15" x14ac:dyDescent="0.25">
      <c r="H26" s="3" t="s">
        <v>45</v>
      </c>
      <c r="I26" s="3" t="s">
        <v>49</v>
      </c>
      <c r="J26" s="3" t="s">
        <v>45</v>
      </c>
      <c r="K26" s="3" t="s">
        <v>3</v>
      </c>
      <c r="L26" s="4"/>
      <c r="M26" s="4"/>
    </row>
    <row r="27" spans="1:15" ht="14.25" customHeight="1" x14ac:dyDescent="0.25">
      <c r="B27" s="44" t="s">
        <v>35</v>
      </c>
      <c r="D27" s="44" t="s">
        <v>36</v>
      </c>
      <c r="F27" s="44" t="s">
        <v>37</v>
      </c>
      <c r="H27" s="2" t="s">
        <v>45</v>
      </c>
      <c r="I27" s="2" t="s">
        <v>5</v>
      </c>
      <c r="J27" s="2" t="s">
        <v>45</v>
      </c>
      <c r="K27" s="2" t="s">
        <v>10</v>
      </c>
    </row>
    <row r="28" spans="1:15" ht="72" customHeight="1" x14ac:dyDescent="0.25">
      <c r="B28" s="45"/>
      <c r="D28" s="45" t="str" cm="1">
        <f t="array" ref="D28:D29">IF(+_xlfn._xlws.FILTER($I$17:$I$28,$H$17:$H$28=$H$14)="","",_xlfn._xlws.FILTER($I$17:$I$28,$H$17:$H$28=$H$14))</f>
        <v xml:space="preserve">Thanapong Yacharn </v>
      </c>
      <c r="E28" s="45"/>
      <c r="F28" s="45" t="str" cm="1">
        <f t="array" ref="F28:F31">IF(+_xlfn._xlws.FILTER($K$17:$K$30,$J$17:$J$30=$H$14)="","",_xlfn._xlws.FILTER($K$17:$K$30,$J$17:$J$30=$H$14))</f>
        <v>Chairat Kongsuphamanon</v>
      </c>
      <c r="H28" s="3" t="s">
        <v>45</v>
      </c>
      <c r="I28" s="3" t="s">
        <v>6</v>
      </c>
      <c r="J28" s="3" t="s">
        <v>45</v>
      </c>
      <c r="K28" s="3" t="s">
        <v>11</v>
      </c>
      <c r="L28" s="45"/>
      <c r="M28" s="45"/>
      <c r="N28" s="45"/>
    </row>
    <row r="29" spans="1:15" s="50" customFormat="1" x14ac:dyDescent="0.25">
      <c r="A29" s="45"/>
      <c r="B29" s="45"/>
      <c r="C29" s="45"/>
      <c r="D29" s="49" t="str">
        <v>Sales Manager</v>
      </c>
      <c r="E29" s="49"/>
      <c r="F29" s="49" t="str">
        <v>Chief Executive Officer</v>
      </c>
      <c r="H29" s="2" t="s">
        <v>45</v>
      </c>
      <c r="I29" s="2"/>
      <c r="J29" s="2" t="s">
        <v>45</v>
      </c>
      <c r="K29" s="2" t="s">
        <v>13</v>
      </c>
      <c r="L29"/>
      <c r="M29"/>
      <c r="N29"/>
    </row>
    <row r="30" spans="1:15" ht="72" customHeight="1" x14ac:dyDescent="0.25">
      <c r="B30" s="45"/>
      <c r="D30" s="45"/>
      <c r="E30" s="45"/>
      <c r="F30" s="45" t="str">
        <v>Intu-on Morin</v>
      </c>
      <c r="H30" s="3" t="s">
        <v>45</v>
      </c>
      <c r="I30" s="3"/>
      <c r="J30" s="51" t="s">
        <v>45</v>
      </c>
      <c r="K30" s="52" t="s">
        <v>11</v>
      </c>
      <c r="L30" s="45"/>
      <c r="M30" s="45"/>
      <c r="N30" s="45"/>
    </row>
    <row r="31" spans="1:15" s="45" customFormat="1" x14ac:dyDescent="0.25">
      <c r="D31" s="49"/>
      <c r="F31" s="45" t="str">
        <v>Chief Financial Officer</v>
      </c>
      <c r="H31" s="2"/>
      <c r="I31" s="3"/>
      <c r="J31" s="2"/>
      <c r="K31" s="2"/>
      <c r="L31"/>
      <c r="M31"/>
      <c r="N31"/>
    </row>
    <row r="32" spans="1:15" ht="72" customHeight="1" x14ac:dyDescent="0.25">
      <c r="B32" s="45"/>
      <c r="D32" s="45"/>
      <c r="E32" s="45"/>
      <c r="F32" s="45"/>
      <c r="J32" s="45"/>
      <c r="K32" s="45"/>
      <c r="L32" s="45"/>
      <c r="M32" s="45"/>
      <c r="N32" s="45"/>
    </row>
    <row r="33" spans="1:14" s="45" customFormat="1" x14ac:dyDescent="0.25">
      <c r="H33"/>
      <c r="I33"/>
      <c r="J33"/>
      <c r="K33"/>
      <c r="L33"/>
      <c r="M33"/>
      <c r="N33"/>
    </row>
    <row r="34" spans="1:14" ht="72" customHeight="1" x14ac:dyDescent="0.25">
      <c r="A34" s="45"/>
      <c r="B34" s="45"/>
      <c r="C34" s="45"/>
      <c r="D34" s="45"/>
      <c r="E34" s="45"/>
      <c r="F34" s="45"/>
      <c r="J34" s="45"/>
      <c r="K34" s="45"/>
      <c r="L34" s="45"/>
      <c r="M34" s="45"/>
      <c r="N34" s="45"/>
    </row>
    <row r="35" spans="1:14" s="45" customFormat="1" x14ac:dyDescent="0.25">
      <c r="A35"/>
      <c r="B35"/>
      <c r="C35"/>
      <c r="J35"/>
      <c r="K35"/>
      <c r="L35"/>
      <c r="M35"/>
      <c r="N35"/>
    </row>
    <row r="36" spans="1:14" x14ac:dyDescent="0.25">
      <c r="A36" s="45"/>
      <c r="B36" s="45"/>
      <c r="C36" s="45"/>
      <c r="D36" s="45"/>
      <c r="E36" s="45"/>
      <c r="F36" s="45"/>
    </row>
    <row r="37" spans="1:14" x14ac:dyDescent="0.25">
      <c r="H37" s="45"/>
      <c r="I37" s="45"/>
    </row>
    <row r="39" spans="1:14" x14ac:dyDescent="0.25">
      <c r="H39" s="45"/>
      <c r="I39" s="45"/>
    </row>
  </sheetData>
  <pageMargins left="0.7" right="0.52083333333333337" top="0.75" bottom="0.75" header="0.3" footer="0.3"/>
  <pageSetup paperSize="9" scale="32" orientation="portrait" r:id="rId1"/>
  <headerFooter>
    <oddHeader xml:space="preserve">&amp;C&amp;"-,Bold"&amp;12CHAOSUA FOODS USA CORPORATION
3980 VALLEY BLVD STE F WALNUT, CA 91789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PE-202500002</vt:lpstr>
      <vt:lpstr>Administrative</vt:lpstr>
      <vt:lpstr>Selling</vt:lpstr>
      <vt:lpstr>Administrative!Print_Area</vt:lpstr>
      <vt:lpstr>'PE-202500002'!Print_Area</vt:lpstr>
      <vt:lpstr>Selling!Print_Area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Phlernsuda.S</dc:creator>
  <cp:lastModifiedBy>Kittanun Apisitamorn</cp:lastModifiedBy>
  <cp:lastPrinted>2025-09-01T08:39:35Z</cp:lastPrinted>
  <dcterms:created xsi:type="dcterms:W3CDTF">2025-07-11T06:10:16Z</dcterms:created>
  <dcterms:modified xsi:type="dcterms:W3CDTF">2025-09-01T09:57:05Z</dcterms:modified>
</cp:coreProperties>
</file>